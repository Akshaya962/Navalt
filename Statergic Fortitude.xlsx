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Akshaya\Downloads\"/>
    </mc:Choice>
  </mc:AlternateContent>
  <xr:revisionPtr revIDLastSave="0" documentId="13_ncr:1_{7F6C280E-FF06-4323-9205-612C309274C1}" xr6:coauthVersionLast="47" xr6:coauthVersionMax="47" xr10:uidLastSave="{00000000-0000-0000-0000-000000000000}"/>
  <bookViews>
    <workbookView xWindow="-107" yWindow="-107" windowWidth="20847" windowHeight="111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Sheet1!$A$1:$Y$322</definedName>
  </definedNames>
  <calcPr calcId="191029"/>
</workbook>
</file>

<file path=xl/calcChain.xml><?xml version="1.0" encoding="utf-8"?>
<calcChain xmlns="http://schemas.openxmlformats.org/spreadsheetml/2006/main">
  <c r="H33" i="2" l="1"/>
  <c r="H36" i="2" s="1"/>
  <c r="H29" i="2"/>
  <c r="AK16" i="2"/>
  <c r="AK11" i="2"/>
  <c r="AK17" i="2"/>
  <c r="AJ8" i="2"/>
  <c r="AK8" i="2" s="1"/>
  <c r="H18" i="2"/>
  <c r="X18" i="2"/>
  <c r="W18" i="2"/>
  <c r="U18" i="2"/>
  <c r="N18" i="2"/>
  <c r="G18" i="2"/>
  <c r="AE6" i="2"/>
</calcChain>
</file>

<file path=xl/sharedStrings.xml><?xml version="1.0" encoding="utf-8"?>
<sst xmlns="http://schemas.openxmlformats.org/spreadsheetml/2006/main" count="765" uniqueCount="91">
  <si>
    <t>VoyageNo</t>
  </si>
  <si>
    <t>Date</t>
  </si>
  <si>
    <t>Combined</t>
  </si>
  <si>
    <t>VoyCondition</t>
  </si>
  <si>
    <t>Total_FC</t>
  </si>
  <si>
    <t>CARGO_TOTAL</t>
  </si>
  <si>
    <t>MILES_BY_GPS</t>
  </si>
  <si>
    <t>Fuel_ME</t>
  </si>
  <si>
    <t>Fuel_Aux</t>
  </si>
  <si>
    <t>Fuel_Boiler</t>
  </si>
  <si>
    <t>Total_Calculated_HS</t>
  </si>
  <si>
    <t>Total_Calculated_LS</t>
  </si>
  <si>
    <t>Total_calculated_VLSFOH</t>
  </si>
  <si>
    <t>Total_calculated_VLSFOH_ME</t>
  </si>
  <si>
    <t>Total_calculated_VLSFOL</t>
  </si>
  <si>
    <t>Total_Calculated_MDO</t>
  </si>
  <si>
    <t>Total_Calculated_MGO_HS</t>
  </si>
  <si>
    <t>Total_Calculated_MGO_LS</t>
  </si>
  <si>
    <t>TOTAL_STEAMING_TIME</t>
  </si>
  <si>
    <t>SEA_STATE</t>
  </si>
  <si>
    <t>POWER_kW</t>
  </si>
  <si>
    <t>DRAFT</t>
  </si>
  <si>
    <t>STW</t>
  </si>
  <si>
    <t>SOG</t>
  </si>
  <si>
    <t>RPM</t>
  </si>
  <si>
    <t>-Noon At Anchor</t>
  </si>
  <si>
    <t>Ballast</t>
  </si>
  <si>
    <t>Noon At Anchor-Noon At Anchor</t>
  </si>
  <si>
    <t>Noon At Berth-FWE</t>
  </si>
  <si>
    <t>Noon At Anchor-Noon At Berth</t>
  </si>
  <si>
    <t>FWE-Noon At Berth</t>
  </si>
  <si>
    <t>Noon At Berth-Noon At Berth</t>
  </si>
  <si>
    <t>Noon at Sea-Noon At Berth</t>
  </si>
  <si>
    <t>COSP-Noon At Harbour Steaming</t>
  </si>
  <si>
    <t>Laden</t>
  </si>
  <si>
    <t>Noon At Berth-COSP</t>
  </si>
  <si>
    <t>Noon At Harbour Steaming-SBE</t>
  </si>
  <si>
    <t>SBE-Noon at Sea</t>
  </si>
  <si>
    <t>Noon at Sea-Noon at Sea</t>
  </si>
  <si>
    <t>EOSP-Noon at Sea</t>
  </si>
  <si>
    <t>FWE-EOSP</t>
  </si>
  <si>
    <t>COSP-SBE</t>
  </si>
  <si>
    <t>Noon at Sea-COSP</t>
  </si>
  <si>
    <t>SBE-FWE</t>
  </si>
  <si>
    <t>EOSP-Noon At Berth</t>
  </si>
  <si>
    <t>Noon At Berth-Noon at Sea</t>
  </si>
  <si>
    <t>SBE-EOSP</t>
  </si>
  <si>
    <t>Noon at Sea-Noon At Anchor</t>
  </si>
  <si>
    <t>Noon At Berth-Noon At Harbour Steaming</t>
  </si>
  <si>
    <t>COSP-Noon at Sea</t>
  </si>
  <si>
    <t>Noon at Sea-EOSP</t>
  </si>
  <si>
    <t>SBE-Noon At Berth</t>
  </si>
  <si>
    <t>Noon At Berth-EOSP</t>
  </si>
  <si>
    <t>FWE-Noon At Anchor</t>
  </si>
  <si>
    <t>Noon At Anchor-EOSP</t>
  </si>
  <si>
    <t>EOSP-Noon At Anchor</t>
  </si>
  <si>
    <t>Noon At Berth-Noon At Anchor</t>
  </si>
  <si>
    <t>COSP-Noon At Anchor</t>
  </si>
  <si>
    <t>Noon At Harbour Steaming-EOSP</t>
  </si>
  <si>
    <t>EOSP-Noon At Harbour Steaming</t>
  </si>
  <si>
    <t>Noon At Harbour Steaming-Noon At Harbour Steaming</t>
  </si>
  <si>
    <t>Noon At Harbour Steaming-Noon At Anchor</t>
  </si>
  <si>
    <t>DISTANCE</t>
  </si>
  <si>
    <t>FUEL</t>
  </si>
  <si>
    <t xml:space="preserve">POWER </t>
  </si>
  <si>
    <t>SPEED</t>
  </si>
  <si>
    <t>OPTIMIZER</t>
  </si>
  <si>
    <t>TIME</t>
  </si>
  <si>
    <t>DISTANCE/TIME</t>
  </si>
  <si>
    <t>CORRECTED DAY</t>
  </si>
  <si>
    <t>4353/TIME</t>
  </si>
  <si>
    <t>OPTIMIZER DISTANCE * DAYS</t>
  </si>
  <si>
    <t>ACTUAL DISTANCE</t>
  </si>
  <si>
    <t xml:space="preserve">ACTUAL FUEL </t>
  </si>
  <si>
    <t>OPTIMIZER FUEL</t>
  </si>
  <si>
    <t>REDUCTION</t>
  </si>
  <si>
    <t>269*15.8</t>
  </si>
  <si>
    <t>13.38*15.8</t>
  </si>
  <si>
    <t xml:space="preserve">PRICE /MT </t>
  </si>
  <si>
    <t>ACTUAL FUEL PRICE</t>
  </si>
  <si>
    <t>VOY NO</t>
  </si>
  <si>
    <t>FUEL(TON)</t>
  </si>
  <si>
    <t>PRICE</t>
  </si>
  <si>
    <t>VOY-57</t>
  </si>
  <si>
    <t>OPTIMIZED FUEL PRICE</t>
  </si>
  <si>
    <t>VOY 57</t>
  </si>
  <si>
    <t xml:space="preserve">DIFFERENCE FUEL PRICE </t>
  </si>
  <si>
    <t>VOY- 57</t>
  </si>
  <si>
    <t>DAYS AT ANCHORAGE</t>
  </si>
  <si>
    <t>DAYS TRAVELLED</t>
  </si>
  <si>
    <t>ACTUALS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</si>
</sst>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64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3" borderId="1" xfId="0" applyFont="1" applyFill="1" applyBorder="1"/>
    <xf numFmtId="0" fontId="0" fillId="3" borderId="2" xfId="0" applyFill="1" applyBorder="1"/>
    <xf numFmtId="0" fontId="0" fillId="3" borderId="1" xfId="0" applyFill="1" applyBorder="1"/>
    <xf numFmtId="0" fontId="2" fillId="4" borderId="0" xfId="0" applyFon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5" fontId="0" fillId="4" borderId="0" xfId="0" applyNumberFormat="1" applyFill="1"/>
    <xf numFmtId="165" fontId="2" fillId="4" borderId="0" xfId="0" applyNumberFormat="1" applyFont="1" applyFill="1"/>
    <xf numFmtId="2" fontId="0" fillId="4" borderId="0" xfId="0" applyNumberFormat="1" applyFill="1"/>
    <xf numFmtId="2" fontId="2" fillId="4" borderId="0" xfId="0" applyNumberFormat="1" applyFont="1" applyFill="1"/>
    <xf numFmtId="0" fontId="2" fillId="4" borderId="0" xfId="0" applyFont="1" applyFill="1"/>
    <xf numFmtId="0" fontId="1" fillId="0" borderId="0" xfId="0" applyFont="1" applyAlignment="1">
      <alignment horizontal="center" vertical="top"/>
    </xf>
    <xf numFmtId="0" fontId="0" fillId="5" borderId="0" xfId="0" applyFill="1"/>
    <xf numFmtId="2" fontId="0" fillId="5" borderId="0" xfId="0" applyNumberFormat="1" applyFill="1"/>
    <xf numFmtId="0" fontId="2" fillId="6" borderId="0" xfId="0" applyFont="1" applyFill="1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right"/>
    </xf>
    <xf numFmtId="0" fontId="3" fillId="7" borderId="0" xfId="0" applyFont="1" applyFill="1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7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2"/>
  <sheetViews>
    <sheetView topLeftCell="M137" workbookViewId="0">
      <selection activeCell="E147" sqref="E147"/>
    </sheetView>
  </sheetViews>
  <sheetFormatPr defaultRowHeight="14" x14ac:dyDescent="0.3"/>
  <cols>
    <col min="1" max="1" width="14" bestFit="1" customWidth="1"/>
    <col min="2" max="2" width="18" bestFit="1" customWidth="1"/>
    <col min="3" max="3" width="47.796875" bestFit="1" customWidth="1"/>
    <col min="4" max="4" width="17" bestFit="1" customWidth="1"/>
    <col min="5" max="5" width="12.796875" bestFit="1" customWidth="1"/>
    <col min="6" max="6" width="18.09765625" bestFit="1" customWidth="1"/>
    <col min="7" max="7" width="17.8984375" bestFit="1" customWidth="1"/>
    <col min="8" max="8" width="12.69921875" bestFit="1" customWidth="1"/>
    <col min="9" max="9" width="13.19921875" bestFit="1" customWidth="1"/>
    <col min="10" max="10" width="14.8984375" bestFit="1" customWidth="1"/>
    <col min="11" max="11" width="23" bestFit="1" customWidth="1"/>
    <col min="12" max="12" width="22.5" bestFit="1" customWidth="1"/>
    <col min="13" max="13" width="27.09765625" bestFit="1" customWidth="1"/>
    <col min="14" max="14" width="30.8984375" bestFit="1" customWidth="1"/>
    <col min="15" max="15" width="26.59765625" bestFit="1" customWidth="1"/>
    <col min="16" max="16" width="25.19921875" bestFit="1" customWidth="1"/>
    <col min="17" max="17" width="28.5" bestFit="1" customWidth="1"/>
    <col min="18" max="18" width="28" bestFit="1" customWidth="1"/>
    <col min="19" max="19" width="26.296875" bestFit="1" customWidth="1"/>
    <col min="20" max="20" width="14.69921875" bestFit="1" customWidth="1"/>
    <col min="21" max="21" width="15.69921875" bestFit="1" customWidth="1"/>
    <col min="22" max="22" width="11" bestFit="1" customWidth="1"/>
    <col min="23" max="23" width="9.19921875" bestFit="1" customWidth="1"/>
    <col min="24" max="24" width="9.09765625" bestFit="1" customWidth="1"/>
    <col min="25" max="25" width="9.39843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30">
        <v>56</v>
      </c>
      <c r="B2" s="2">
        <v>44927</v>
      </c>
      <c r="C2" s="1" t="s">
        <v>25</v>
      </c>
      <c r="D2" s="1" t="s">
        <v>26</v>
      </c>
      <c r="E2">
        <v>2.6</v>
      </c>
      <c r="F2">
        <v>0</v>
      </c>
      <c r="G2">
        <v>0</v>
      </c>
      <c r="H2">
        <v>0</v>
      </c>
      <c r="I2">
        <v>1.85</v>
      </c>
      <c r="J2">
        <v>0.75</v>
      </c>
      <c r="K2">
        <v>0</v>
      </c>
      <c r="L2">
        <v>0</v>
      </c>
      <c r="M2">
        <v>2.5</v>
      </c>
      <c r="N2">
        <v>0</v>
      </c>
      <c r="O2">
        <v>0</v>
      </c>
      <c r="P2">
        <v>0</v>
      </c>
      <c r="Q2">
        <v>0</v>
      </c>
      <c r="R2">
        <v>0.1</v>
      </c>
      <c r="S2">
        <v>0</v>
      </c>
      <c r="T2">
        <v>4</v>
      </c>
      <c r="U2">
        <v>0</v>
      </c>
      <c r="V2">
        <v>4.8499999999999996</v>
      </c>
      <c r="W2">
        <v>0</v>
      </c>
      <c r="X2">
        <v>0</v>
      </c>
      <c r="Y2">
        <v>0</v>
      </c>
    </row>
    <row r="3" spans="1:25" x14ac:dyDescent="0.3">
      <c r="A3" s="30"/>
      <c r="B3" s="2">
        <v>44928</v>
      </c>
      <c r="C3" s="1" t="s">
        <v>27</v>
      </c>
      <c r="D3" s="1" t="s">
        <v>26</v>
      </c>
      <c r="E3">
        <v>2.6</v>
      </c>
      <c r="F3">
        <v>0</v>
      </c>
      <c r="G3">
        <v>0</v>
      </c>
      <c r="H3">
        <v>0</v>
      </c>
      <c r="I3">
        <v>1.85</v>
      </c>
      <c r="J3">
        <v>0.75</v>
      </c>
      <c r="K3">
        <v>0</v>
      </c>
      <c r="L3">
        <v>0</v>
      </c>
      <c r="M3">
        <v>2.48</v>
      </c>
      <c r="N3">
        <v>0</v>
      </c>
      <c r="O3">
        <v>0</v>
      </c>
      <c r="P3">
        <v>0</v>
      </c>
      <c r="Q3">
        <v>0</v>
      </c>
      <c r="R3">
        <v>0.1</v>
      </c>
      <c r="S3">
        <v>0</v>
      </c>
      <c r="T3">
        <v>3</v>
      </c>
      <c r="U3">
        <v>0</v>
      </c>
      <c r="V3">
        <v>4.8499999999999996</v>
      </c>
      <c r="W3">
        <v>0</v>
      </c>
      <c r="X3">
        <v>0</v>
      </c>
      <c r="Y3">
        <v>0</v>
      </c>
    </row>
    <row r="4" spans="1:25" x14ac:dyDescent="0.3">
      <c r="A4" s="30"/>
      <c r="B4" s="2">
        <v>44929</v>
      </c>
      <c r="C4" s="1" t="s">
        <v>27</v>
      </c>
      <c r="D4" s="1" t="s">
        <v>26</v>
      </c>
      <c r="E4">
        <v>2.6</v>
      </c>
      <c r="F4">
        <v>0</v>
      </c>
      <c r="G4">
        <v>0</v>
      </c>
      <c r="H4">
        <v>0</v>
      </c>
      <c r="I4">
        <v>1.85</v>
      </c>
      <c r="J4">
        <v>0.7</v>
      </c>
      <c r="K4">
        <v>0</v>
      </c>
      <c r="L4">
        <v>0</v>
      </c>
      <c r="M4">
        <v>2.4900000000000002</v>
      </c>
      <c r="N4">
        <v>0</v>
      </c>
      <c r="O4">
        <v>0</v>
      </c>
      <c r="P4">
        <v>0</v>
      </c>
      <c r="Q4">
        <v>0</v>
      </c>
      <c r="R4">
        <v>0.1</v>
      </c>
      <c r="S4">
        <v>0</v>
      </c>
      <c r="T4">
        <v>3</v>
      </c>
      <c r="U4">
        <v>0</v>
      </c>
      <c r="V4">
        <v>4.8499999999999996</v>
      </c>
      <c r="W4">
        <v>0</v>
      </c>
      <c r="X4">
        <v>0</v>
      </c>
      <c r="Y4">
        <v>0</v>
      </c>
    </row>
    <row r="5" spans="1:25" x14ac:dyDescent="0.3">
      <c r="A5" s="30"/>
      <c r="B5" s="2">
        <v>44930</v>
      </c>
      <c r="C5" s="1" t="s">
        <v>27</v>
      </c>
      <c r="D5" s="1" t="s">
        <v>26</v>
      </c>
      <c r="E5">
        <v>0.1</v>
      </c>
      <c r="F5">
        <v>0</v>
      </c>
      <c r="G5">
        <v>0</v>
      </c>
      <c r="H5">
        <v>0</v>
      </c>
      <c r="I5">
        <v>0.1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</v>
      </c>
      <c r="S5">
        <v>0</v>
      </c>
      <c r="T5">
        <v>2</v>
      </c>
      <c r="U5">
        <v>0</v>
      </c>
      <c r="V5">
        <v>4.8499999999999996</v>
      </c>
      <c r="W5">
        <v>0</v>
      </c>
      <c r="X5">
        <v>0</v>
      </c>
      <c r="Y5">
        <v>0</v>
      </c>
    </row>
    <row r="6" spans="1:25" x14ac:dyDescent="0.3">
      <c r="A6" s="30"/>
      <c r="B6" s="2">
        <v>44931</v>
      </c>
      <c r="C6" s="1" t="s">
        <v>27</v>
      </c>
      <c r="D6" s="1" t="s">
        <v>26</v>
      </c>
      <c r="E6">
        <v>2.6</v>
      </c>
      <c r="F6">
        <v>0</v>
      </c>
      <c r="G6">
        <v>0</v>
      </c>
      <c r="H6">
        <v>0</v>
      </c>
      <c r="I6">
        <v>1.85</v>
      </c>
      <c r="J6">
        <v>0.7</v>
      </c>
      <c r="K6">
        <v>0</v>
      </c>
      <c r="L6">
        <v>0</v>
      </c>
      <c r="M6">
        <v>2.48</v>
      </c>
      <c r="N6">
        <v>0</v>
      </c>
      <c r="O6">
        <v>0</v>
      </c>
      <c r="P6">
        <v>0</v>
      </c>
      <c r="Q6">
        <v>0</v>
      </c>
      <c r="R6">
        <v>0.1</v>
      </c>
      <c r="S6">
        <v>0</v>
      </c>
      <c r="T6">
        <v>3</v>
      </c>
      <c r="U6">
        <v>0</v>
      </c>
      <c r="V6">
        <v>4.8499999999999996</v>
      </c>
      <c r="W6">
        <v>0</v>
      </c>
      <c r="X6">
        <v>0</v>
      </c>
      <c r="Y6">
        <v>0</v>
      </c>
    </row>
    <row r="7" spans="1:25" x14ac:dyDescent="0.3">
      <c r="A7" s="30"/>
      <c r="B7" s="2">
        <v>44932</v>
      </c>
      <c r="C7" s="1" t="s">
        <v>27</v>
      </c>
      <c r="D7" s="1" t="s">
        <v>26</v>
      </c>
      <c r="E7">
        <v>2.6</v>
      </c>
      <c r="F7">
        <v>0</v>
      </c>
      <c r="G7">
        <v>0</v>
      </c>
      <c r="H7">
        <v>0</v>
      </c>
      <c r="I7">
        <v>1.9</v>
      </c>
      <c r="J7">
        <v>0.7</v>
      </c>
      <c r="K7">
        <v>0</v>
      </c>
      <c r="L7">
        <v>0</v>
      </c>
      <c r="M7">
        <v>2.5</v>
      </c>
      <c r="N7">
        <v>0</v>
      </c>
      <c r="O7">
        <v>0</v>
      </c>
      <c r="P7">
        <v>0</v>
      </c>
      <c r="Q7">
        <v>0</v>
      </c>
      <c r="R7">
        <v>0.1</v>
      </c>
      <c r="S7">
        <v>0</v>
      </c>
      <c r="T7">
        <v>2</v>
      </c>
      <c r="U7">
        <v>0</v>
      </c>
      <c r="V7">
        <v>4.8499999999999996</v>
      </c>
      <c r="W7">
        <v>0</v>
      </c>
      <c r="X7">
        <v>0</v>
      </c>
      <c r="Y7">
        <v>0</v>
      </c>
    </row>
    <row r="8" spans="1:25" x14ac:dyDescent="0.3">
      <c r="A8" s="30"/>
      <c r="B8" s="2">
        <v>44933</v>
      </c>
      <c r="C8" s="1" t="s">
        <v>27</v>
      </c>
      <c r="D8" s="1" t="s">
        <v>26</v>
      </c>
      <c r="E8">
        <v>2.6</v>
      </c>
      <c r="F8">
        <v>0</v>
      </c>
      <c r="G8">
        <v>0</v>
      </c>
      <c r="H8">
        <v>0</v>
      </c>
      <c r="I8">
        <v>1.85</v>
      </c>
      <c r="J8">
        <v>0.75</v>
      </c>
      <c r="K8">
        <v>0</v>
      </c>
      <c r="L8">
        <v>0</v>
      </c>
      <c r="M8">
        <v>2.48</v>
      </c>
      <c r="N8">
        <v>0</v>
      </c>
      <c r="O8">
        <v>0</v>
      </c>
      <c r="P8">
        <v>0</v>
      </c>
      <c r="Q8">
        <v>0</v>
      </c>
      <c r="R8">
        <v>0.1</v>
      </c>
      <c r="S8">
        <v>0</v>
      </c>
      <c r="T8">
        <v>3</v>
      </c>
      <c r="U8">
        <v>0</v>
      </c>
      <c r="V8">
        <v>4.8499999999999996</v>
      </c>
      <c r="W8">
        <v>0</v>
      </c>
      <c r="X8">
        <v>0</v>
      </c>
      <c r="Y8">
        <v>0</v>
      </c>
    </row>
    <row r="9" spans="1:25" x14ac:dyDescent="0.3">
      <c r="A9" s="30"/>
      <c r="B9" s="2">
        <v>44934</v>
      </c>
      <c r="C9" s="1" t="s">
        <v>27</v>
      </c>
      <c r="D9" s="1" t="s">
        <v>26</v>
      </c>
      <c r="E9">
        <v>2.6</v>
      </c>
      <c r="F9">
        <v>0</v>
      </c>
      <c r="G9">
        <v>0</v>
      </c>
      <c r="H9">
        <v>0</v>
      </c>
      <c r="I9">
        <v>1.85</v>
      </c>
      <c r="J9">
        <v>0.75</v>
      </c>
      <c r="K9">
        <v>0</v>
      </c>
      <c r="L9">
        <v>0</v>
      </c>
      <c r="M9">
        <v>2.48</v>
      </c>
      <c r="N9">
        <v>0</v>
      </c>
      <c r="O9">
        <v>0</v>
      </c>
      <c r="P9">
        <v>0</v>
      </c>
      <c r="Q9">
        <v>0</v>
      </c>
      <c r="R9">
        <v>0.1</v>
      </c>
      <c r="S9">
        <v>0</v>
      </c>
      <c r="T9">
        <v>4</v>
      </c>
      <c r="U9">
        <v>0</v>
      </c>
      <c r="V9">
        <v>4.8499999999999996</v>
      </c>
      <c r="W9">
        <v>0</v>
      </c>
      <c r="X9">
        <v>0</v>
      </c>
      <c r="Y9">
        <v>0</v>
      </c>
    </row>
    <row r="10" spans="1:25" x14ac:dyDescent="0.3">
      <c r="A10" s="30"/>
      <c r="B10" s="2">
        <v>44935</v>
      </c>
      <c r="C10" s="1" t="s">
        <v>27</v>
      </c>
      <c r="D10" s="1" t="s">
        <v>26</v>
      </c>
      <c r="E10">
        <v>2.6</v>
      </c>
      <c r="F10">
        <v>0</v>
      </c>
      <c r="G10">
        <v>0</v>
      </c>
      <c r="H10">
        <v>0</v>
      </c>
      <c r="I10">
        <v>1.85</v>
      </c>
      <c r="J10">
        <v>0.75</v>
      </c>
      <c r="K10">
        <v>0</v>
      </c>
      <c r="L10">
        <v>0</v>
      </c>
      <c r="M10">
        <v>2.4900000000000002</v>
      </c>
      <c r="N10">
        <v>0</v>
      </c>
      <c r="O10">
        <v>0</v>
      </c>
      <c r="P10">
        <v>0</v>
      </c>
      <c r="Q10">
        <v>0</v>
      </c>
      <c r="R10">
        <v>0.1</v>
      </c>
      <c r="S10">
        <v>0</v>
      </c>
      <c r="T10">
        <v>3</v>
      </c>
      <c r="U10">
        <v>0</v>
      </c>
      <c r="V10">
        <v>4.8499999999999996</v>
      </c>
      <c r="W10">
        <v>0</v>
      </c>
      <c r="X10">
        <v>0</v>
      </c>
      <c r="Y10">
        <v>0</v>
      </c>
    </row>
    <row r="11" spans="1:25" x14ac:dyDescent="0.3">
      <c r="A11" s="30"/>
      <c r="B11" s="2">
        <v>44936</v>
      </c>
      <c r="C11" s="1" t="s">
        <v>27</v>
      </c>
      <c r="D11" s="1" t="s">
        <v>26</v>
      </c>
      <c r="E11">
        <v>2.6</v>
      </c>
      <c r="F11">
        <v>0</v>
      </c>
      <c r="G11">
        <v>0</v>
      </c>
      <c r="H11">
        <v>0</v>
      </c>
      <c r="I11">
        <v>1.85</v>
      </c>
      <c r="J11">
        <v>0.75</v>
      </c>
      <c r="K11">
        <v>0</v>
      </c>
      <c r="L11">
        <v>0</v>
      </c>
      <c r="M11">
        <v>2.48</v>
      </c>
      <c r="N11">
        <v>0</v>
      </c>
      <c r="O11">
        <v>0</v>
      </c>
      <c r="P11">
        <v>0</v>
      </c>
      <c r="Q11">
        <v>0</v>
      </c>
      <c r="R11">
        <v>0.1</v>
      </c>
      <c r="S11">
        <v>0</v>
      </c>
      <c r="T11">
        <v>2</v>
      </c>
      <c r="U11">
        <v>0</v>
      </c>
      <c r="V11">
        <v>4.8499999999999996</v>
      </c>
      <c r="W11">
        <v>0</v>
      </c>
      <c r="X11">
        <v>0</v>
      </c>
      <c r="Y11">
        <v>0</v>
      </c>
    </row>
    <row r="12" spans="1:25" x14ac:dyDescent="0.3">
      <c r="A12" s="30"/>
      <c r="B12" s="2">
        <v>44937</v>
      </c>
      <c r="C12" s="1" t="s">
        <v>27</v>
      </c>
      <c r="D12" s="1" t="s">
        <v>26</v>
      </c>
      <c r="E12">
        <v>2.6</v>
      </c>
      <c r="F12">
        <v>0</v>
      </c>
      <c r="G12">
        <v>0</v>
      </c>
      <c r="H12">
        <v>0</v>
      </c>
      <c r="I12">
        <v>1.85</v>
      </c>
      <c r="J12">
        <v>0.75</v>
      </c>
      <c r="K12">
        <v>0</v>
      </c>
      <c r="L12">
        <v>0</v>
      </c>
      <c r="M12">
        <v>2.48</v>
      </c>
      <c r="N12">
        <v>0</v>
      </c>
      <c r="O12">
        <v>0</v>
      </c>
      <c r="P12">
        <v>0</v>
      </c>
      <c r="Q12">
        <v>0</v>
      </c>
      <c r="R12">
        <v>0.1</v>
      </c>
      <c r="S12">
        <v>0</v>
      </c>
      <c r="T12">
        <v>2</v>
      </c>
      <c r="U12">
        <v>0</v>
      </c>
      <c r="V12">
        <v>4.8499999999999996</v>
      </c>
      <c r="W12">
        <v>0</v>
      </c>
      <c r="X12">
        <v>0</v>
      </c>
      <c r="Y12">
        <v>0</v>
      </c>
    </row>
    <row r="13" spans="1:25" x14ac:dyDescent="0.3">
      <c r="A13" s="30"/>
      <c r="B13" s="2">
        <v>44938</v>
      </c>
      <c r="C13" s="1" t="s">
        <v>27</v>
      </c>
      <c r="D13" s="1" t="s">
        <v>26</v>
      </c>
      <c r="E13">
        <v>2.5499999999999998</v>
      </c>
      <c r="F13">
        <v>0</v>
      </c>
      <c r="G13">
        <v>0</v>
      </c>
      <c r="H13">
        <v>0</v>
      </c>
      <c r="I13">
        <v>1.85</v>
      </c>
      <c r="J13">
        <v>0.75</v>
      </c>
      <c r="K13">
        <v>0</v>
      </c>
      <c r="L13">
        <v>0</v>
      </c>
      <c r="M13">
        <v>2.4700000000000002</v>
      </c>
      <c r="N13">
        <v>0</v>
      </c>
      <c r="O13">
        <v>0</v>
      </c>
      <c r="P13">
        <v>0</v>
      </c>
      <c r="Q13">
        <v>0</v>
      </c>
      <c r="R13">
        <v>0.1</v>
      </c>
      <c r="S13">
        <v>0</v>
      </c>
      <c r="T13">
        <v>3</v>
      </c>
      <c r="U13">
        <v>0</v>
      </c>
      <c r="V13">
        <v>4.8499999999999996</v>
      </c>
      <c r="W13">
        <v>0</v>
      </c>
      <c r="X13">
        <v>0</v>
      </c>
      <c r="Y13">
        <v>0</v>
      </c>
    </row>
    <row r="14" spans="1:25" x14ac:dyDescent="0.3">
      <c r="A14" s="30"/>
      <c r="B14" s="2">
        <v>44939</v>
      </c>
      <c r="C14" s="1" t="s">
        <v>27</v>
      </c>
      <c r="D14" s="1" t="s">
        <v>26</v>
      </c>
      <c r="E14">
        <v>2.5</v>
      </c>
      <c r="F14">
        <v>0</v>
      </c>
      <c r="G14">
        <v>0</v>
      </c>
      <c r="H14">
        <v>0</v>
      </c>
      <c r="I14">
        <v>1.8</v>
      </c>
      <c r="J14">
        <v>0.7</v>
      </c>
      <c r="K14">
        <v>0</v>
      </c>
      <c r="L14">
        <v>0</v>
      </c>
      <c r="M14">
        <v>2.42</v>
      </c>
      <c r="N14">
        <v>0</v>
      </c>
      <c r="O14">
        <v>0</v>
      </c>
      <c r="P14">
        <v>0</v>
      </c>
      <c r="Q14">
        <v>0</v>
      </c>
      <c r="R14">
        <v>0.1</v>
      </c>
      <c r="S14">
        <v>0</v>
      </c>
      <c r="T14">
        <v>3</v>
      </c>
      <c r="U14">
        <v>0</v>
      </c>
      <c r="V14">
        <v>4.8499999999999996</v>
      </c>
      <c r="W14">
        <v>0</v>
      </c>
      <c r="X14">
        <v>0</v>
      </c>
      <c r="Y14">
        <v>0</v>
      </c>
    </row>
    <row r="15" spans="1:25" x14ac:dyDescent="0.3">
      <c r="A15" s="30"/>
      <c r="B15" s="2">
        <v>44940</v>
      </c>
      <c r="C15" s="1" t="s">
        <v>27</v>
      </c>
      <c r="D15" s="1" t="s">
        <v>26</v>
      </c>
      <c r="E15">
        <v>2.5499999999999998</v>
      </c>
      <c r="F15">
        <v>0</v>
      </c>
      <c r="G15">
        <v>0</v>
      </c>
      <c r="H15">
        <v>0</v>
      </c>
      <c r="I15">
        <v>1.85</v>
      </c>
      <c r="J15">
        <v>0.7</v>
      </c>
      <c r="K15">
        <v>0</v>
      </c>
      <c r="L15">
        <v>0</v>
      </c>
      <c r="M15">
        <v>2.4700000000000002</v>
      </c>
      <c r="N15">
        <v>0</v>
      </c>
      <c r="O15">
        <v>0</v>
      </c>
      <c r="P15">
        <v>0</v>
      </c>
      <c r="Q15">
        <v>0</v>
      </c>
      <c r="R15">
        <v>0.1</v>
      </c>
      <c r="S15">
        <v>0</v>
      </c>
      <c r="T15">
        <v>3</v>
      </c>
      <c r="U15">
        <v>0</v>
      </c>
      <c r="V15">
        <v>4.8499999999999996</v>
      </c>
      <c r="W15">
        <v>0</v>
      </c>
      <c r="X15">
        <v>0</v>
      </c>
      <c r="Y15">
        <v>0</v>
      </c>
    </row>
    <row r="16" spans="1:25" x14ac:dyDescent="0.3">
      <c r="A16" s="30"/>
      <c r="B16" s="2">
        <v>44941</v>
      </c>
      <c r="C16" s="1" t="s">
        <v>27</v>
      </c>
      <c r="D16" s="1" t="s">
        <v>26</v>
      </c>
      <c r="E16">
        <v>2.5</v>
      </c>
      <c r="F16">
        <v>0</v>
      </c>
      <c r="G16">
        <v>0</v>
      </c>
      <c r="H16">
        <v>0</v>
      </c>
      <c r="I16">
        <v>1.8</v>
      </c>
      <c r="J16">
        <v>0.7</v>
      </c>
      <c r="K16">
        <v>0</v>
      </c>
      <c r="L16">
        <v>0</v>
      </c>
      <c r="M16">
        <v>2.42</v>
      </c>
      <c r="N16">
        <v>0</v>
      </c>
      <c r="O16">
        <v>0</v>
      </c>
      <c r="P16">
        <v>0</v>
      </c>
      <c r="Q16">
        <v>0</v>
      </c>
      <c r="R16">
        <v>0.1</v>
      </c>
      <c r="S16">
        <v>0</v>
      </c>
      <c r="T16">
        <v>4</v>
      </c>
      <c r="U16">
        <v>0</v>
      </c>
      <c r="V16">
        <v>4.8499999999999996</v>
      </c>
      <c r="W16">
        <v>0</v>
      </c>
      <c r="X16">
        <v>0</v>
      </c>
      <c r="Y16">
        <v>0</v>
      </c>
    </row>
    <row r="17" spans="1:25" x14ac:dyDescent="0.3">
      <c r="A17" s="30"/>
      <c r="B17" s="2">
        <v>44942</v>
      </c>
      <c r="C17" s="1" t="s">
        <v>27</v>
      </c>
      <c r="D17" s="1" t="s">
        <v>26</v>
      </c>
      <c r="E17">
        <v>2.5499999999999998</v>
      </c>
      <c r="F17">
        <v>0</v>
      </c>
      <c r="G17">
        <v>0</v>
      </c>
      <c r="H17">
        <v>0</v>
      </c>
      <c r="I17">
        <v>1.85</v>
      </c>
      <c r="J17">
        <v>0.7</v>
      </c>
      <c r="K17">
        <v>0</v>
      </c>
      <c r="L17">
        <v>0</v>
      </c>
      <c r="M17">
        <v>2.4700000000000002</v>
      </c>
      <c r="N17">
        <v>0</v>
      </c>
      <c r="O17">
        <v>0</v>
      </c>
      <c r="P17">
        <v>0</v>
      </c>
      <c r="Q17">
        <v>0</v>
      </c>
      <c r="R17">
        <v>0.1</v>
      </c>
      <c r="S17">
        <v>0</v>
      </c>
      <c r="T17">
        <v>3</v>
      </c>
      <c r="U17">
        <v>0</v>
      </c>
      <c r="V17">
        <v>4.8499999999999996</v>
      </c>
      <c r="W17">
        <v>0</v>
      </c>
      <c r="X17">
        <v>0</v>
      </c>
      <c r="Y17">
        <v>0</v>
      </c>
    </row>
    <row r="18" spans="1:25" x14ac:dyDescent="0.3">
      <c r="A18" s="30"/>
      <c r="B18" s="2">
        <v>44943</v>
      </c>
      <c r="C18" s="1" t="s">
        <v>27</v>
      </c>
      <c r="D18" s="1" t="s">
        <v>26</v>
      </c>
      <c r="E18">
        <v>2.6</v>
      </c>
      <c r="F18">
        <v>0</v>
      </c>
      <c r="G18">
        <v>0</v>
      </c>
      <c r="H18">
        <v>0</v>
      </c>
      <c r="I18">
        <v>1.9</v>
      </c>
      <c r="J18">
        <v>0.7</v>
      </c>
      <c r="K18">
        <v>0</v>
      </c>
      <c r="L18">
        <v>0</v>
      </c>
      <c r="M18">
        <v>2.4900000000000002</v>
      </c>
      <c r="N18">
        <v>0</v>
      </c>
      <c r="O18">
        <v>0</v>
      </c>
      <c r="P18">
        <v>0</v>
      </c>
      <c r="Q18">
        <v>0</v>
      </c>
      <c r="R18">
        <v>0.1</v>
      </c>
      <c r="S18">
        <v>0</v>
      </c>
      <c r="T18">
        <v>4</v>
      </c>
      <c r="U18">
        <v>0</v>
      </c>
      <c r="V18">
        <v>4.8499999999999996</v>
      </c>
      <c r="W18">
        <v>0</v>
      </c>
      <c r="X18">
        <v>0</v>
      </c>
      <c r="Y18">
        <v>0</v>
      </c>
    </row>
    <row r="19" spans="1:25" x14ac:dyDescent="0.3">
      <c r="A19" s="30"/>
      <c r="B19" s="2">
        <v>44944</v>
      </c>
      <c r="C19" s="1" t="s">
        <v>27</v>
      </c>
      <c r="D19" s="1" t="s">
        <v>26</v>
      </c>
      <c r="E19">
        <v>2.6</v>
      </c>
      <c r="F19">
        <v>0</v>
      </c>
      <c r="G19">
        <v>0</v>
      </c>
      <c r="H19">
        <v>0</v>
      </c>
      <c r="I19">
        <v>1.85</v>
      </c>
      <c r="J19">
        <v>0.7</v>
      </c>
      <c r="K19">
        <v>0</v>
      </c>
      <c r="L19">
        <v>0</v>
      </c>
      <c r="M19">
        <v>2.48</v>
      </c>
      <c r="N19">
        <v>0</v>
      </c>
      <c r="O19">
        <v>0</v>
      </c>
      <c r="P19">
        <v>0</v>
      </c>
      <c r="Q19">
        <v>0</v>
      </c>
      <c r="R19">
        <v>0.1</v>
      </c>
      <c r="S19">
        <v>0</v>
      </c>
      <c r="T19">
        <v>3</v>
      </c>
      <c r="U19">
        <v>0</v>
      </c>
      <c r="V19">
        <v>4.8499999999999996</v>
      </c>
      <c r="W19">
        <v>0</v>
      </c>
      <c r="X19">
        <v>0</v>
      </c>
      <c r="Y19">
        <v>0</v>
      </c>
    </row>
    <row r="20" spans="1:25" x14ac:dyDescent="0.3">
      <c r="A20" s="30"/>
      <c r="B20" s="2">
        <v>44945</v>
      </c>
      <c r="C20" s="1" t="s">
        <v>27</v>
      </c>
      <c r="D20" s="1" t="s">
        <v>26</v>
      </c>
      <c r="E20">
        <v>2.75</v>
      </c>
      <c r="F20">
        <v>0</v>
      </c>
      <c r="G20">
        <v>0</v>
      </c>
      <c r="H20">
        <v>0.25</v>
      </c>
      <c r="I20">
        <v>1.85</v>
      </c>
      <c r="J20">
        <v>0.7</v>
      </c>
      <c r="K20">
        <v>0</v>
      </c>
      <c r="L20">
        <v>0</v>
      </c>
      <c r="M20">
        <v>2.66</v>
      </c>
      <c r="N20">
        <v>0.25</v>
      </c>
      <c r="O20">
        <v>0</v>
      </c>
      <c r="P20">
        <v>0</v>
      </c>
      <c r="Q20">
        <v>0</v>
      </c>
      <c r="R20">
        <v>0.1</v>
      </c>
      <c r="S20">
        <v>0</v>
      </c>
      <c r="T20">
        <v>3</v>
      </c>
      <c r="U20">
        <v>0</v>
      </c>
      <c r="V20">
        <v>4.8499999999999996</v>
      </c>
      <c r="W20">
        <v>0</v>
      </c>
      <c r="X20">
        <v>0</v>
      </c>
      <c r="Y20">
        <v>0</v>
      </c>
    </row>
    <row r="21" spans="1:25" x14ac:dyDescent="0.3">
      <c r="A21" s="30"/>
      <c r="B21" s="2">
        <v>44946</v>
      </c>
      <c r="C21" s="1" t="s">
        <v>27</v>
      </c>
      <c r="D21" s="1" t="s">
        <v>26</v>
      </c>
      <c r="E21">
        <v>2.4</v>
      </c>
      <c r="F21">
        <v>0</v>
      </c>
      <c r="G21">
        <v>0</v>
      </c>
      <c r="H21">
        <v>0</v>
      </c>
      <c r="I21">
        <v>1.7</v>
      </c>
      <c r="J21">
        <v>0.7</v>
      </c>
      <c r="K21">
        <v>0</v>
      </c>
      <c r="L21">
        <v>0</v>
      </c>
      <c r="M21">
        <v>2.41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</v>
      </c>
      <c r="U21">
        <v>0</v>
      </c>
      <c r="V21">
        <v>4.8499999999999996</v>
      </c>
      <c r="W21">
        <v>0</v>
      </c>
      <c r="X21">
        <v>0</v>
      </c>
      <c r="Y21">
        <v>0</v>
      </c>
    </row>
    <row r="22" spans="1:25" x14ac:dyDescent="0.3">
      <c r="A22" s="30"/>
      <c r="B22" s="2">
        <v>44947</v>
      </c>
      <c r="C22" s="1" t="s">
        <v>27</v>
      </c>
      <c r="D22" s="1" t="s">
        <v>26</v>
      </c>
      <c r="E22">
        <v>2.25</v>
      </c>
      <c r="F22">
        <v>0</v>
      </c>
      <c r="G22">
        <v>0</v>
      </c>
      <c r="H22">
        <v>0</v>
      </c>
      <c r="I22">
        <v>1.6</v>
      </c>
      <c r="J22">
        <v>0.65</v>
      </c>
      <c r="K22">
        <v>0</v>
      </c>
      <c r="L22">
        <v>0</v>
      </c>
      <c r="M22">
        <v>2.2400000000000002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</v>
      </c>
      <c r="U22">
        <v>0</v>
      </c>
      <c r="V22">
        <v>4.8499999999999996</v>
      </c>
      <c r="W22">
        <v>0</v>
      </c>
      <c r="X22">
        <v>0</v>
      </c>
      <c r="Y22">
        <v>0</v>
      </c>
    </row>
    <row r="23" spans="1:25" x14ac:dyDescent="0.3">
      <c r="A23" s="30"/>
      <c r="B23" s="29">
        <v>44948</v>
      </c>
      <c r="C23" s="1" t="s">
        <v>27</v>
      </c>
      <c r="D23" s="1" t="s">
        <v>26</v>
      </c>
      <c r="E23">
        <v>2.15</v>
      </c>
      <c r="F23">
        <v>0</v>
      </c>
      <c r="G23">
        <v>0</v>
      </c>
      <c r="H23">
        <v>0</v>
      </c>
      <c r="I23">
        <v>1.55</v>
      </c>
      <c r="J23">
        <v>0.6</v>
      </c>
      <c r="K23">
        <v>0</v>
      </c>
      <c r="L23">
        <v>0</v>
      </c>
      <c r="M23">
        <v>2.16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</v>
      </c>
      <c r="U23">
        <v>0</v>
      </c>
      <c r="V23">
        <v>4.8499999999999996</v>
      </c>
      <c r="W23">
        <v>0</v>
      </c>
      <c r="X23">
        <v>0</v>
      </c>
      <c r="Y23">
        <v>0</v>
      </c>
    </row>
    <row r="24" spans="1:25" x14ac:dyDescent="0.3">
      <c r="A24" s="30"/>
      <c r="B24" s="30"/>
      <c r="C24" s="1" t="s">
        <v>28</v>
      </c>
      <c r="D24" s="1" t="s">
        <v>26</v>
      </c>
      <c r="E24">
        <v>1.35</v>
      </c>
      <c r="F24">
        <v>0</v>
      </c>
      <c r="G24">
        <v>19</v>
      </c>
      <c r="H24">
        <v>0.7</v>
      </c>
      <c r="I24">
        <v>0.55000000000000004</v>
      </c>
      <c r="J24">
        <v>0.15</v>
      </c>
      <c r="K24">
        <v>0</v>
      </c>
      <c r="L24">
        <v>0</v>
      </c>
      <c r="M24">
        <v>1.26</v>
      </c>
      <c r="N24">
        <v>0.68</v>
      </c>
      <c r="O24">
        <v>0</v>
      </c>
      <c r="P24">
        <v>0</v>
      </c>
      <c r="Q24">
        <v>0</v>
      </c>
      <c r="R24">
        <v>0.1</v>
      </c>
      <c r="S24">
        <v>4</v>
      </c>
      <c r="T24">
        <v>2</v>
      </c>
      <c r="U24">
        <v>0</v>
      </c>
      <c r="V24">
        <v>4.8499999999999996</v>
      </c>
      <c r="W24">
        <v>4.75</v>
      </c>
      <c r="X24">
        <v>4.75</v>
      </c>
      <c r="Y24">
        <v>0</v>
      </c>
    </row>
    <row r="25" spans="1:25" x14ac:dyDescent="0.3">
      <c r="A25" s="30"/>
      <c r="B25" s="2">
        <v>44949</v>
      </c>
      <c r="C25" s="1" t="s">
        <v>29</v>
      </c>
      <c r="D25" s="1" t="s">
        <v>26</v>
      </c>
      <c r="E25">
        <v>2.25</v>
      </c>
      <c r="F25">
        <v>2850</v>
      </c>
      <c r="G25">
        <v>0</v>
      </c>
      <c r="H25">
        <v>0</v>
      </c>
      <c r="I25">
        <v>1.65</v>
      </c>
      <c r="J25">
        <v>0.6</v>
      </c>
      <c r="K25">
        <v>0</v>
      </c>
      <c r="L25">
        <v>0</v>
      </c>
      <c r="M25">
        <v>2.25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</v>
      </c>
      <c r="U25">
        <v>0</v>
      </c>
      <c r="V25">
        <v>5.51</v>
      </c>
      <c r="W25">
        <v>0</v>
      </c>
      <c r="X25">
        <v>0</v>
      </c>
      <c r="Y25">
        <v>0</v>
      </c>
    </row>
    <row r="26" spans="1:25" x14ac:dyDescent="0.3">
      <c r="A26" s="30"/>
      <c r="B26" s="2">
        <v>44950</v>
      </c>
      <c r="C26" s="1" t="s">
        <v>30</v>
      </c>
      <c r="D26" s="1" t="s">
        <v>26</v>
      </c>
      <c r="E26">
        <v>3.55</v>
      </c>
      <c r="F26">
        <v>8474</v>
      </c>
      <c r="G26">
        <v>0</v>
      </c>
      <c r="H26">
        <v>0.3</v>
      </c>
      <c r="I26">
        <v>2.4500000000000002</v>
      </c>
      <c r="J26">
        <v>0.85</v>
      </c>
      <c r="K26">
        <v>0</v>
      </c>
      <c r="L26">
        <v>0</v>
      </c>
      <c r="M26">
        <v>3.54</v>
      </c>
      <c r="N26">
        <v>0.28000000000000003</v>
      </c>
      <c r="O26">
        <v>0</v>
      </c>
      <c r="P26">
        <v>0</v>
      </c>
      <c r="Q26">
        <v>0.01</v>
      </c>
      <c r="R26">
        <v>0</v>
      </c>
      <c r="S26">
        <v>0</v>
      </c>
      <c r="T26">
        <v>2</v>
      </c>
      <c r="U26">
        <v>0</v>
      </c>
      <c r="V26">
        <v>6.2549999999999999</v>
      </c>
      <c r="W26">
        <v>0</v>
      </c>
      <c r="X26">
        <v>0</v>
      </c>
      <c r="Y26">
        <v>0</v>
      </c>
    </row>
    <row r="27" spans="1:25" x14ac:dyDescent="0.3">
      <c r="A27" s="30"/>
      <c r="B27" s="2">
        <v>44951</v>
      </c>
      <c r="C27" s="1" t="s">
        <v>31</v>
      </c>
      <c r="D27" s="1" t="s">
        <v>26</v>
      </c>
      <c r="E27">
        <v>4</v>
      </c>
      <c r="F27">
        <v>12717</v>
      </c>
      <c r="G27">
        <v>0</v>
      </c>
      <c r="H27">
        <v>0</v>
      </c>
      <c r="I27">
        <v>3.2</v>
      </c>
      <c r="J27">
        <v>0.8</v>
      </c>
      <c r="K27">
        <v>0</v>
      </c>
      <c r="L27">
        <v>0</v>
      </c>
      <c r="M27">
        <v>4.01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</v>
      </c>
      <c r="U27">
        <v>0</v>
      </c>
      <c r="V27">
        <v>5.6050000000000004</v>
      </c>
      <c r="W27">
        <v>0</v>
      </c>
      <c r="X27">
        <v>0</v>
      </c>
      <c r="Y27">
        <v>0</v>
      </c>
    </row>
    <row r="28" spans="1:25" x14ac:dyDescent="0.3">
      <c r="A28" s="30"/>
      <c r="B28" s="2">
        <v>44952</v>
      </c>
      <c r="C28" s="1" t="s">
        <v>32</v>
      </c>
      <c r="D28" s="1" t="s">
        <v>26</v>
      </c>
      <c r="E28">
        <v>3.45</v>
      </c>
      <c r="F28">
        <v>12717</v>
      </c>
      <c r="G28">
        <v>0</v>
      </c>
      <c r="H28">
        <v>0</v>
      </c>
      <c r="I28">
        <v>2.6</v>
      </c>
      <c r="J28">
        <v>0.85</v>
      </c>
      <c r="K28">
        <v>0</v>
      </c>
      <c r="L28">
        <v>0</v>
      </c>
      <c r="M28">
        <v>3.43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</v>
      </c>
      <c r="U28">
        <v>0</v>
      </c>
      <c r="V28">
        <v>6.5</v>
      </c>
      <c r="W28">
        <v>0</v>
      </c>
      <c r="X28">
        <v>0</v>
      </c>
      <c r="Y28">
        <v>0</v>
      </c>
    </row>
    <row r="29" spans="1:25" x14ac:dyDescent="0.3">
      <c r="A29" s="30"/>
      <c r="B29" s="2">
        <v>44953</v>
      </c>
      <c r="C29" s="1" t="s">
        <v>31</v>
      </c>
      <c r="D29" s="1" t="s">
        <v>26</v>
      </c>
      <c r="E29">
        <v>3.6</v>
      </c>
      <c r="F29">
        <v>23291</v>
      </c>
      <c r="G29">
        <v>0</v>
      </c>
      <c r="H29">
        <v>0</v>
      </c>
      <c r="I29">
        <v>2.8</v>
      </c>
      <c r="J29">
        <v>0.8</v>
      </c>
      <c r="K29">
        <v>0</v>
      </c>
      <c r="L29">
        <v>0</v>
      </c>
      <c r="M29">
        <v>3.61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</v>
      </c>
      <c r="U29">
        <v>0</v>
      </c>
      <c r="V29">
        <v>7.7</v>
      </c>
      <c r="W29">
        <v>0</v>
      </c>
      <c r="X29">
        <v>0</v>
      </c>
      <c r="Y29">
        <v>0</v>
      </c>
    </row>
    <row r="30" spans="1:25" x14ac:dyDescent="0.3">
      <c r="A30" s="30"/>
      <c r="B30" s="2">
        <v>44954</v>
      </c>
      <c r="C30" s="1" t="s">
        <v>31</v>
      </c>
      <c r="D30" s="1" t="s">
        <v>26</v>
      </c>
      <c r="E30">
        <v>3.5</v>
      </c>
      <c r="F30">
        <v>27282</v>
      </c>
      <c r="G30">
        <v>0</v>
      </c>
      <c r="H30">
        <v>0</v>
      </c>
      <c r="I30">
        <v>2.75</v>
      </c>
      <c r="J30">
        <v>0.75</v>
      </c>
      <c r="K30">
        <v>0</v>
      </c>
      <c r="L30">
        <v>0</v>
      </c>
      <c r="M30">
        <v>3.51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</v>
      </c>
      <c r="U30">
        <v>0</v>
      </c>
      <c r="V30">
        <v>8.7899999999999991</v>
      </c>
      <c r="W30">
        <v>0</v>
      </c>
      <c r="X30">
        <v>0</v>
      </c>
      <c r="Y30">
        <v>0</v>
      </c>
    </row>
    <row r="31" spans="1:25" x14ac:dyDescent="0.3">
      <c r="A31" s="30"/>
      <c r="B31" s="2">
        <v>44955</v>
      </c>
      <c r="C31" s="1" t="s">
        <v>31</v>
      </c>
      <c r="D31" s="1" t="s">
        <v>26</v>
      </c>
      <c r="E31">
        <v>3.45</v>
      </c>
      <c r="F31">
        <v>30121</v>
      </c>
      <c r="G31">
        <v>0</v>
      </c>
      <c r="H31">
        <v>0</v>
      </c>
      <c r="I31">
        <v>2.7</v>
      </c>
      <c r="J31">
        <v>0.75</v>
      </c>
      <c r="K31">
        <v>0</v>
      </c>
      <c r="L31">
        <v>0</v>
      </c>
      <c r="M31">
        <v>3.47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</v>
      </c>
      <c r="U31">
        <v>0</v>
      </c>
      <c r="V31">
        <v>9.25</v>
      </c>
      <c r="W31">
        <v>0</v>
      </c>
      <c r="X31">
        <v>0</v>
      </c>
      <c r="Y31">
        <v>0</v>
      </c>
    </row>
    <row r="32" spans="1:25" x14ac:dyDescent="0.3">
      <c r="A32" s="30"/>
      <c r="B32" s="29">
        <v>44956</v>
      </c>
      <c r="C32" s="1" t="s">
        <v>33</v>
      </c>
      <c r="D32" s="1" t="s">
        <v>34</v>
      </c>
      <c r="E32">
        <v>1.8</v>
      </c>
      <c r="F32">
        <v>29014.799999999999</v>
      </c>
      <c r="G32">
        <v>18</v>
      </c>
      <c r="H32">
        <v>1.55</v>
      </c>
      <c r="I32">
        <v>0.25</v>
      </c>
      <c r="J32">
        <v>0</v>
      </c>
      <c r="K32">
        <v>0</v>
      </c>
      <c r="L32">
        <v>0</v>
      </c>
      <c r="M32">
        <v>1.8</v>
      </c>
      <c r="N32">
        <v>1.55</v>
      </c>
      <c r="O32">
        <v>0</v>
      </c>
      <c r="P32">
        <v>0</v>
      </c>
      <c r="Q32">
        <v>0</v>
      </c>
      <c r="R32">
        <v>0</v>
      </c>
      <c r="S32">
        <v>3.2</v>
      </c>
      <c r="T32">
        <v>3</v>
      </c>
      <c r="U32">
        <v>0</v>
      </c>
      <c r="V32">
        <v>9.4849999999999994</v>
      </c>
      <c r="W32">
        <v>5.31</v>
      </c>
      <c r="X32">
        <v>5.63</v>
      </c>
      <c r="Y32">
        <v>0</v>
      </c>
    </row>
    <row r="33" spans="1:25" x14ac:dyDescent="0.3">
      <c r="A33" s="30"/>
      <c r="B33" s="30"/>
      <c r="C33" s="1" t="s">
        <v>35</v>
      </c>
      <c r="D33" s="1" t="s">
        <v>34</v>
      </c>
      <c r="E33">
        <v>1.4</v>
      </c>
      <c r="F33">
        <v>29014.799999999999</v>
      </c>
      <c r="G33">
        <v>7</v>
      </c>
      <c r="H33">
        <v>1.1000000000000001</v>
      </c>
      <c r="I33">
        <v>0.3</v>
      </c>
      <c r="J33">
        <v>0</v>
      </c>
      <c r="K33">
        <v>0</v>
      </c>
      <c r="L33">
        <v>0</v>
      </c>
      <c r="M33">
        <v>1.4</v>
      </c>
      <c r="N33">
        <v>1.1000000000000001</v>
      </c>
      <c r="O33">
        <v>0</v>
      </c>
      <c r="P33">
        <v>0</v>
      </c>
      <c r="Q33">
        <v>0</v>
      </c>
      <c r="R33">
        <v>0</v>
      </c>
      <c r="S33">
        <v>2.5</v>
      </c>
      <c r="T33">
        <v>3</v>
      </c>
      <c r="U33">
        <v>0</v>
      </c>
      <c r="V33">
        <v>9.4849999999999994</v>
      </c>
      <c r="W33">
        <v>2.8</v>
      </c>
      <c r="X33">
        <v>2.8</v>
      </c>
      <c r="Y33">
        <v>0</v>
      </c>
    </row>
    <row r="34" spans="1:25" x14ac:dyDescent="0.3">
      <c r="A34" s="30"/>
      <c r="B34" s="30"/>
      <c r="C34" s="1" t="s">
        <v>36</v>
      </c>
      <c r="D34" s="1" t="s">
        <v>34</v>
      </c>
      <c r="E34">
        <v>2.2000000000000002</v>
      </c>
      <c r="F34">
        <v>29014.799999999999</v>
      </c>
      <c r="G34">
        <v>0</v>
      </c>
      <c r="H34">
        <v>0</v>
      </c>
      <c r="I34">
        <v>1.6</v>
      </c>
      <c r="J34">
        <v>0.6</v>
      </c>
      <c r="K34">
        <v>0</v>
      </c>
      <c r="L34">
        <v>0</v>
      </c>
      <c r="M34">
        <v>2.2000000000000002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</v>
      </c>
      <c r="U34">
        <v>0</v>
      </c>
      <c r="V34">
        <v>9.4849999999999994</v>
      </c>
      <c r="W34">
        <v>0</v>
      </c>
      <c r="X34">
        <v>0</v>
      </c>
      <c r="Y34">
        <v>0</v>
      </c>
    </row>
    <row r="35" spans="1:25" x14ac:dyDescent="0.3">
      <c r="A35" s="30"/>
      <c r="B35" s="2">
        <v>44957</v>
      </c>
      <c r="C35" s="1" t="s">
        <v>37</v>
      </c>
      <c r="D35" s="1" t="s">
        <v>34</v>
      </c>
      <c r="E35">
        <v>17.2</v>
      </c>
      <c r="F35">
        <v>29014.799999999999</v>
      </c>
      <c r="G35">
        <v>188</v>
      </c>
      <c r="H35">
        <v>15.7</v>
      </c>
      <c r="I35">
        <v>1.4</v>
      </c>
      <c r="J35">
        <v>0.05</v>
      </c>
      <c r="K35">
        <v>0</v>
      </c>
      <c r="L35">
        <v>0</v>
      </c>
      <c r="M35">
        <v>17.18</v>
      </c>
      <c r="N35">
        <v>15.72</v>
      </c>
      <c r="O35">
        <v>0</v>
      </c>
      <c r="P35">
        <v>0</v>
      </c>
      <c r="Q35">
        <v>0</v>
      </c>
      <c r="R35">
        <v>0</v>
      </c>
      <c r="S35">
        <v>21.5</v>
      </c>
      <c r="T35">
        <v>4</v>
      </c>
      <c r="U35">
        <v>5559.6</v>
      </c>
      <c r="V35">
        <v>9.4849999999999994</v>
      </c>
      <c r="W35">
        <v>8.51</v>
      </c>
      <c r="X35">
        <v>8.74</v>
      </c>
      <c r="Y35">
        <v>91.78</v>
      </c>
    </row>
    <row r="36" spans="1:25" x14ac:dyDescent="0.3">
      <c r="A36" s="30"/>
      <c r="B36" s="2">
        <v>44958</v>
      </c>
      <c r="C36" s="1" t="s">
        <v>38</v>
      </c>
      <c r="D36" s="1" t="s">
        <v>34</v>
      </c>
      <c r="E36">
        <v>20.399999999999999</v>
      </c>
      <c r="F36">
        <v>29014.799999999999</v>
      </c>
      <c r="G36">
        <v>249</v>
      </c>
      <c r="H36">
        <v>18.8</v>
      </c>
      <c r="I36">
        <v>1.65</v>
      </c>
      <c r="J36">
        <v>0</v>
      </c>
      <c r="K36">
        <v>0</v>
      </c>
      <c r="L36">
        <v>0</v>
      </c>
      <c r="M36">
        <v>20.420000000000002</v>
      </c>
      <c r="N36">
        <v>18.79</v>
      </c>
      <c r="O36">
        <v>0</v>
      </c>
      <c r="P36">
        <v>0</v>
      </c>
      <c r="Q36">
        <v>0</v>
      </c>
      <c r="R36">
        <v>0</v>
      </c>
      <c r="S36">
        <v>24</v>
      </c>
      <c r="T36">
        <v>4</v>
      </c>
      <c r="U36">
        <v>5559.6</v>
      </c>
      <c r="V36">
        <v>9.4849999999999994</v>
      </c>
      <c r="W36">
        <v>9.2899999999999991</v>
      </c>
      <c r="X36">
        <v>10.38</v>
      </c>
      <c r="Y36">
        <v>90.46</v>
      </c>
    </row>
    <row r="37" spans="1:25" x14ac:dyDescent="0.3">
      <c r="A37" s="30"/>
      <c r="B37" s="2">
        <v>44959</v>
      </c>
      <c r="C37" s="1" t="s">
        <v>38</v>
      </c>
      <c r="D37" s="1" t="s">
        <v>34</v>
      </c>
      <c r="E37">
        <v>20.350000000000001</v>
      </c>
      <c r="F37">
        <v>29014.799999999999</v>
      </c>
      <c r="G37">
        <v>265</v>
      </c>
      <c r="H37">
        <v>18.7</v>
      </c>
      <c r="I37">
        <v>1.65</v>
      </c>
      <c r="J37">
        <v>0</v>
      </c>
      <c r="K37">
        <v>0</v>
      </c>
      <c r="L37">
        <v>0</v>
      </c>
      <c r="M37">
        <v>20.34</v>
      </c>
      <c r="N37">
        <v>18.68</v>
      </c>
      <c r="O37">
        <v>0</v>
      </c>
      <c r="P37">
        <v>0</v>
      </c>
      <c r="Q37">
        <v>0</v>
      </c>
      <c r="R37">
        <v>0</v>
      </c>
      <c r="S37">
        <v>24</v>
      </c>
      <c r="T37">
        <v>4</v>
      </c>
      <c r="U37">
        <v>5559.6</v>
      </c>
      <c r="V37">
        <v>9.4849999999999994</v>
      </c>
      <c r="W37">
        <v>10.25</v>
      </c>
      <c r="X37">
        <v>11.04</v>
      </c>
      <c r="Y37">
        <v>90.84</v>
      </c>
    </row>
    <row r="38" spans="1:25" x14ac:dyDescent="0.3">
      <c r="A38" s="30"/>
      <c r="B38" s="29">
        <v>44960</v>
      </c>
      <c r="C38" s="1" t="s">
        <v>39</v>
      </c>
      <c r="D38" s="1" t="s">
        <v>34</v>
      </c>
      <c r="E38">
        <v>20.8</v>
      </c>
      <c r="F38">
        <v>29014.799999999999</v>
      </c>
      <c r="G38">
        <v>271</v>
      </c>
      <c r="H38">
        <v>19.3</v>
      </c>
      <c r="I38">
        <v>1.5</v>
      </c>
      <c r="J38">
        <v>0</v>
      </c>
      <c r="K38">
        <v>0</v>
      </c>
      <c r="L38">
        <v>0</v>
      </c>
      <c r="M38">
        <v>18.79</v>
      </c>
      <c r="N38">
        <v>17.38</v>
      </c>
      <c r="O38">
        <v>0</v>
      </c>
      <c r="P38">
        <v>0</v>
      </c>
      <c r="Q38">
        <v>1.9</v>
      </c>
      <c r="R38">
        <v>0.11</v>
      </c>
      <c r="S38">
        <v>24</v>
      </c>
      <c r="T38">
        <v>3</v>
      </c>
      <c r="U38">
        <v>5559.6</v>
      </c>
      <c r="V38">
        <v>9.4849999999999994</v>
      </c>
      <c r="W38">
        <v>10.25</v>
      </c>
      <c r="X38">
        <v>11.29</v>
      </c>
      <c r="Y38">
        <v>92.49</v>
      </c>
    </row>
    <row r="39" spans="1:25" x14ac:dyDescent="0.3">
      <c r="A39" s="30"/>
      <c r="B39" s="30"/>
      <c r="C39" s="1" t="s">
        <v>40</v>
      </c>
      <c r="D39" s="1" t="s">
        <v>34</v>
      </c>
      <c r="E39">
        <v>8.6</v>
      </c>
      <c r="F39">
        <v>29014.799999999999</v>
      </c>
      <c r="G39">
        <v>115</v>
      </c>
      <c r="H39">
        <v>8</v>
      </c>
      <c r="I39">
        <v>0.6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7.99</v>
      </c>
      <c r="R39">
        <v>0.6</v>
      </c>
      <c r="S39">
        <v>9.5</v>
      </c>
      <c r="T39">
        <v>3</v>
      </c>
      <c r="U39">
        <v>5559.6</v>
      </c>
      <c r="V39">
        <v>9.4849999999999994</v>
      </c>
      <c r="W39">
        <v>11.58</v>
      </c>
      <c r="X39">
        <v>12.11</v>
      </c>
      <c r="Y39">
        <v>95.72</v>
      </c>
    </row>
    <row r="40" spans="1:25" x14ac:dyDescent="0.3">
      <c r="A40" s="30"/>
      <c r="B40" s="29">
        <v>44961</v>
      </c>
      <c r="C40" s="1" t="s">
        <v>41</v>
      </c>
      <c r="D40" s="1" t="s">
        <v>34</v>
      </c>
      <c r="E40">
        <v>0.9</v>
      </c>
      <c r="F40">
        <v>29014.799999999999</v>
      </c>
      <c r="G40">
        <v>0</v>
      </c>
      <c r="H40">
        <v>0</v>
      </c>
      <c r="I40">
        <v>0.6</v>
      </c>
      <c r="J40">
        <v>0.3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0.89999999999999991</v>
      </c>
      <c r="S40">
        <v>0</v>
      </c>
      <c r="T40">
        <v>3</v>
      </c>
      <c r="U40">
        <v>0</v>
      </c>
      <c r="V40">
        <v>9.4</v>
      </c>
      <c r="W40">
        <v>0</v>
      </c>
      <c r="X40">
        <v>0</v>
      </c>
      <c r="Y40">
        <v>0</v>
      </c>
    </row>
    <row r="41" spans="1:25" x14ac:dyDescent="0.3">
      <c r="A41" s="30"/>
      <c r="B41" s="30"/>
      <c r="C41" s="1" t="s">
        <v>42</v>
      </c>
      <c r="D41" s="1" t="s">
        <v>34</v>
      </c>
      <c r="E41">
        <v>0.85</v>
      </c>
      <c r="F41">
        <v>29014.799999999999</v>
      </c>
      <c r="G41">
        <v>9</v>
      </c>
      <c r="H41">
        <v>0.6</v>
      </c>
      <c r="I41">
        <v>0.2</v>
      </c>
      <c r="J41">
        <v>0.05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0.6</v>
      </c>
      <c r="R41">
        <v>0.25</v>
      </c>
      <c r="S41">
        <v>1.5</v>
      </c>
      <c r="T41">
        <v>5</v>
      </c>
      <c r="U41">
        <v>0</v>
      </c>
      <c r="V41">
        <v>9.4</v>
      </c>
      <c r="W41">
        <v>5.33</v>
      </c>
      <c r="X41">
        <v>6</v>
      </c>
      <c r="Y41">
        <v>0</v>
      </c>
    </row>
    <row r="42" spans="1:25" x14ac:dyDescent="0.3">
      <c r="A42" s="30"/>
      <c r="B42" s="30"/>
      <c r="C42" s="1" t="s">
        <v>38</v>
      </c>
      <c r="D42" s="1" t="s">
        <v>34</v>
      </c>
      <c r="E42">
        <v>2</v>
      </c>
      <c r="F42">
        <v>29014.799999999999</v>
      </c>
      <c r="G42">
        <v>24</v>
      </c>
      <c r="H42">
        <v>1.85</v>
      </c>
      <c r="I42">
        <v>0.15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1.85</v>
      </c>
      <c r="R42">
        <v>0.15</v>
      </c>
      <c r="S42">
        <v>2.2999999999999998</v>
      </c>
      <c r="T42">
        <v>5</v>
      </c>
      <c r="U42">
        <v>5559.6</v>
      </c>
      <c r="V42">
        <v>9.4</v>
      </c>
      <c r="W42">
        <v>9.57</v>
      </c>
      <c r="X42">
        <v>10.43</v>
      </c>
      <c r="Y42">
        <v>95.85</v>
      </c>
    </row>
    <row r="43" spans="1:25" x14ac:dyDescent="0.3">
      <c r="A43" s="30"/>
      <c r="B43" s="30"/>
      <c r="C43" s="1" t="s">
        <v>43</v>
      </c>
      <c r="D43" s="1" t="s">
        <v>34</v>
      </c>
      <c r="E43">
        <v>1.8</v>
      </c>
      <c r="F43">
        <v>29014.799999999999</v>
      </c>
      <c r="G43">
        <v>18</v>
      </c>
      <c r="H43">
        <v>1.4</v>
      </c>
      <c r="I43">
        <v>0.3</v>
      </c>
      <c r="J43">
        <v>0.1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1.4</v>
      </c>
      <c r="R43">
        <v>0.4</v>
      </c>
      <c r="S43">
        <v>2.8</v>
      </c>
      <c r="T43">
        <v>3</v>
      </c>
      <c r="U43">
        <v>0</v>
      </c>
      <c r="V43">
        <v>9.4849999999999994</v>
      </c>
      <c r="W43">
        <v>5.71</v>
      </c>
      <c r="X43">
        <v>6.43</v>
      </c>
      <c r="Y43">
        <v>0</v>
      </c>
    </row>
    <row r="44" spans="1:25" x14ac:dyDescent="0.3">
      <c r="A44" s="30"/>
      <c r="B44" s="2">
        <v>44962</v>
      </c>
      <c r="C44" s="1" t="s">
        <v>38</v>
      </c>
      <c r="D44" s="1" t="s">
        <v>34</v>
      </c>
      <c r="E44">
        <v>21</v>
      </c>
      <c r="F44">
        <v>29014.799999999999</v>
      </c>
      <c r="G44">
        <v>254</v>
      </c>
      <c r="H44">
        <v>19.5</v>
      </c>
      <c r="I44">
        <v>1.5</v>
      </c>
      <c r="J44">
        <v>0</v>
      </c>
      <c r="K44">
        <v>0</v>
      </c>
      <c r="L44">
        <v>0</v>
      </c>
      <c r="M44">
        <v>17.2</v>
      </c>
      <c r="N44">
        <v>16</v>
      </c>
      <c r="O44">
        <v>0</v>
      </c>
      <c r="P44">
        <v>0</v>
      </c>
      <c r="Q44">
        <v>3.5</v>
      </c>
      <c r="R44">
        <v>0.3</v>
      </c>
      <c r="S44">
        <v>24</v>
      </c>
      <c r="T44">
        <v>4</v>
      </c>
      <c r="U44">
        <v>5559.6</v>
      </c>
      <c r="V44">
        <v>9.4</v>
      </c>
      <c r="W44">
        <v>9.9600000000000009</v>
      </c>
      <c r="X44">
        <v>10.58</v>
      </c>
      <c r="Y44">
        <v>91.51</v>
      </c>
    </row>
    <row r="45" spans="1:25" x14ac:dyDescent="0.3">
      <c r="A45" s="30"/>
      <c r="B45" s="2">
        <v>44963</v>
      </c>
      <c r="C45" s="1" t="s">
        <v>38</v>
      </c>
      <c r="D45" s="1" t="s">
        <v>34</v>
      </c>
      <c r="E45">
        <v>20.8</v>
      </c>
      <c r="F45">
        <v>29014.799999999999</v>
      </c>
      <c r="G45">
        <v>256</v>
      </c>
      <c r="H45">
        <v>19.100000000000001</v>
      </c>
      <c r="I45">
        <v>1.7</v>
      </c>
      <c r="J45">
        <v>0</v>
      </c>
      <c r="K45">
        <v>0</v>
      </c>
      <c r="L45">
        <v>0</v>
      </c>
      <c r="M45">
        <v>20.8</v>
      </c>
      <c r="N45">
        <v>19.100000000000001</v>
      </c>
      <c r="O45">
        <v>0</v>
      </c>
      <c r="P45">
        <v>0</v>
      </c>
      <c r="Q45">
        <v>0</v>
      </c>
      <c r="R45">
        <v>0</v>
      </c>
      <c r="S45">
        <v>24</v>
      </c>
      <c r="T45">
        <v>4</v>
      </c>
      <c r="U45">
        <v>5559.6</v>
      </c>
      <c r="V45">
        <v>9.4</v>
      </c>
      <c r="W45">
        <v>10.46</v>
      </c>
      <c r="X45">
        <v>10.67</v>
      </c>
      <c r="Y45">
        <v>92.76</v>
      </c>
    </row>
    <row r="46" spans="1:25" x14ac:dyDescent="0.3">
      <c r="A46" s="30"/>
      <c r="B46" s="2">
        <v>44964</v>
      </c>
      <c r="C46" s="1" t="s">
        <v>38</v>
      </c>
      <c r="D46" s="1" t="s">
        <v>34</v>
      </c>
      <c r="E46">
        <v>21.65</v>
      </c>
      <c r="F46">
        <v>29014.799999999999</v>
      </c>
      <c r="G46">
        <v>278</v>
      </c>
      <c r="H46">
        <v>19.899999999999999</v>
      </c>
      <c r="I46">
        <v>1.75</v>
      </c>
      <c r="J46">
        <v>0</v>
      </c>
      <c r="K46">
        <v>0</v>
      </c>
      <c r="L46">
        <v>0</v>
      </c>
      <c r="M46">
        <v>21.66</v>
      </c>
      <c r="N46">
        <v>19.899999999999999</v>
      </c>
      <c r="O46">
        <v>0</v>
      </c>
      <c r="P46">
        <v>0</v>
      </c>
      <c r="Q46">
        <v>0</v>
      </c>
      <c r="R46">
        <v>0</v>
      </c>
      <c r="S46">
        <v>25</v>
      </c>
      <c r="T46">
        <v>4</v>
      </c>
      <c r="U46">
        <v>5559.6</v>
      </c>
      <c r="V46">
        <v>9.4</v>
      </c>
      <c r="W46">
        <v>10.84</v>
      </c>
      <c r="X46">
        <v>11.12</v>
      </c>
      <c r="Y46">
        <v>93.7</v>
      </c>
    </row>
    <row r="47" spans="1:25" x14ac:dyDescent="0.3">
      <c r="A47" s="30"/>
      <c r="B47" s="2">
        <v>44965</v>
      </c>
      <c r="C47" s="1" t="s">
        <v>38</v>
      </c>
      <c r="D47" s="1" t="s">
        <v>34</v>
      </c>
      <c r="E47">
        <v>20.45</v>
      </c>
      <c r="F47">
        <v>29014.799999999999</v>
      </c>
      <c r="G47">
        <v>258</v>
      </c>
      <c r="H47">
        <v>18.850000000000001</v>
      </c>
      <c r="I47">
        <v>1.6</v>
      </c>
      <c r="J47">
        <v>0</v>
      </c>
      <c r="K47">
        <v>0</v>
      </c>
      <c r="L47">
        <v>0</v>
      </c>
      <c r="M47">
        <v>20.440000000000001</v>
      </c>
      <c r="N47">
        <v>18.86</v>
      </c>
      <c r="O47">
        <v>0</v>
      </c>
      <c r="P47">
        <v>0</v>
      </c>
      <c r="Q47">
        <v>0</v>
      </c>
      <c r="R47">
        <v>0</v>
      </c>
      <c r="S47">
        <v>24</v>
      </c>
      <c r="T47">
        <v>3</v>
      </c>
      <c r="U47">
        <v>5559.6</v>
      </c>
      <c r="V47">
        <v>9.4</v>
      </c>
      <c r="W47">
        <v>11.08</v>
      </c>
      <c r="X47">
        <v>10.75</v>
      </c>
      <c r="Y47">
        <v>93.74</v>
      </c>
    </row>
    <row r="48" spans="1:25" x14ac:dyDescent="0.3">
      <c r="A48" s="30"/>
      <c r="B48" s="2">
        <v>44966</v>
      </c>
      <c r="C48" s="1" t="s">
        <v>38</v>
      </c>
      <c r="D48" s="1" t="s">
        <v>34</v>
      </c>
      <c r="E48">
        <v>20.8</v>
      </c>
      <c r="F48">
        <v>29014.799999999999</v>
      </c>
      <c r="G48">
        <v>259</v>
      </c>
      <c r="H48">
        <v>19.2</v>
      </c>
      <c r="I48">
        <v>1.6</v>
      </c>
      <c r="J48">
        <v>0</v>
      </c>
      <c r="K48">
        <v>0</v>
      </c>
      <c r="L48">
        <v>0</v>
      </c>
      <c r="M48">
        <v>20.82</v>
      </c>
      <c r="N48">
        <v>19.2</v>
      </c>
      <c r="O48">
        <v>0</v>
      </c>
      <c r="P48">
        <v>0</v>
      </c>
      <c r="Q48">
        <v>0</v>
      </c>
      <c r="R48">
        <v>0</v>
      </c>
      <c r="S48">
        <v>24</v>
      </c>
      <c r="T48">
        <v>4</v>
      </c>
      <c r="U48">
        <v>5491.6</v>
      </c>
      <c r="V48">
        <v>9.4</v>
      </c>
      <c r="W48">
        <v>11.08</v>
      </c>
      <c r="X48">
        <v>10.79</v>
      </c>
      <c r="Y48">
        <v>94</v>
      </c>
    </row>
    <row r="49" spans="1:25" x14ac:dyDescent="0.3">
      <c r="A49" s="30"/>
      <c r="B49" s="2">
        <v>44967</v>
      </c>
      <c r="C49" s="1" t="s">
        <v>38</v>
      </c>
      <c r="D49" s="1" t="s">
        <v>34</v>
      </c>
      <c r="E49">
        <v>21.85</v>
      </c>
      <c r="F49">
        <v>29014.799999999999</v>
      </c>
      <c r="G49">
        <v>271</v>
      </c>
      <c r="H49">
        <v>20.149999999999999</v>
      </c>
      <c r="I49">
        <v>1.7</v>
      </c>
      <c r="J49">
        <v>0</v>
      </c>
      <c r="K49">
        <v>0</v>
      </c>
      <c r="L49">
        <v>0</v>
      </c>
      <c r="M49">
        <v>21.83</v>
      </c>
      <c r="N49">
        <v>20.149999999999999</v>
      </c>
      <c r="O49">
        <v>0</v>
      </c>
      <c r="P49">
        <v>0</v>
      </c>
      <c r="Q49">
        <v>0</v>
      </c>
      <c r="R49">
        <v>0</v>
      </c>
      <c r="S49">
        <v>25</v>
      </c>
      <c r="T49">
        <v>4</v>
      </c>
      <c r="U49">
        <v>5491.8</v>
      </c>
      <c r="V49">
        <v>9.4</v>
      </c>
      <c r="W49">
        <v>11.04</v>
      </c>
      <c r="X49">
        <v>10.84</v>
      </c>
      <c r="Y49">
        <v>94</v>
      </c>
    </row>
    <row r="50" spans="1:25" x14ac:dyDescent="0.3">
      <c r="A50" s="30"/>
      <c r="B50" s="2">
        <v>44968</v>
      </c>
      <c r="C50" s="1" t="s">
        <v>38</v>
      </c>
      <c r="D50" s="1" t="s">
        <v>34</v>
      </c>
      <c r="E50">
        <v>20.95</v>
      </c>
      <c r="F50">
        <v>29014.799999999999</v>
      </c>
      <c r="G50">
        <v>267</v>
      </c>
      <c r="H50">
        <v>19.350000000000001</v>
      </c>
      <c r="I50">
        <v>1.6</v>
      </c>
      <c r="J50">
        <v>0</v>
      </c>
      <c r="K50">
        <v>0</v>
      </c>
      <c r="L50">
        <v>0</v>
      </c>
      <c r="M50">
        <v>20.93</v>
      </c>
      <c r="N50">
        <v>19.34</v>
      </c>
      <c r="O50">
        <v>0</v>
      </c>
      <c r="P50">
        <v>0</v>
      </c>
      <c r="Q50">
        <v>0</v>
      </c>
      <c r="R50">
        <v>0</v>
      </c>
      <c r="S50">
        <v>24</v>
      </c>
      <c r="T50">
        <v>3</v>
      </c>
      <c r="U50">
        <v>5491.8</v>
      </c>
      <c r="V50">
        <v>9.4</v>
      </c>
      <c r="W50">
        <v>11</v>
      </c>
      <c r="X50">
        <v>11.13</v>
      </c>
      <c r="Y50">
        <v>94</v>
      </c>
    </row>
    <row r="51" spans="1:25" x14ac:dyDescent="0.3">
      <c r="A51" s="30"/>
      <c r="B51" s="2">
        <v>44969</v>
      </c>
      <c r="C51" s="1" t="s">
        <v>38</v>
      </c>
      <c r="D51" s="1" t="s">
        <v>34</v>
      </c>
      <c r="E51">
        <v>21.1</v>
      </c>
      <c r="F51">
        <v>29014.799999999999</v>
      </c>
      <c r="G51">
        <v>266</v>
      </c>
      <c r="H51">
        <v>19.5</v>
      </c>
      <c r="I51">
        <v>1.6</v>
      </c>
      <c r="J51">
        <v>0</v>
      </c>
      <c r="K51">
        <v>0</v>
      </c>
      <c r="L51">
        <v>0</v>
      </c>
      <c r="M51">
        <v>21.08</v>
      </c>
      <c r="N51">
        <v>19.48</v>
      </c>
      <c r="O51">
        <v>0</v>
      </c>
      <c r="P51">
        <v>0</v>
      </c>
      <c r="Q51">
        <v>0</v>
      </c>
      <c r="R51">
        <v>0</v>
      </c>
      <c r="S51">
        <v>24</v>
      </c>
      <c r="T51">
        <v>3</v>
      </c>
      <c r="U51">
        <v>5491.8</v>
      </c>
      <c r="V51">
        <v>9.4</v>
      </c>
      <c r="W51">
        <v>11.17</v>
      </c>
      <c r="X51">
        <v>11.08</v>
      </c>
      <c r="Y51">
        <v>95</v>
      </c>
    </row>
    <row r="52" spans="1:25" x14ac:dyDescent="0.3">
      <c r="A52" s="30"/>
      <c r="B52" s="2">
        <v>44970</v>
      </c>
      <c r="C52" s="1" t="s">
        <v>38</v>
      </c>
      <c r="D52" s="1" t="s">
        <v>34</v>
      </c>
      <c r="E52">
        <v>21</v>
      </c>
      <c r="F52">
        <v>29014.799999999999</v>
      </c>
      <c r="G52">
        <v>273</v>
      </c>
      <c r="H52">
        <v>19.399999999999999</v>
      </c>
      <c r="I52">
        <v>1.55</v>
      </c>
      <c r="J52">
        <v>0</v>
      </c>
      <c r="K52">
        <v>0</v>
      </c>
      <c r="L52">
        <v>0</v>
      </c>
      <c r="M52">
        <v>20.98</v>
      </c>
      <c r="N52">
        <v>19.420000000000002</v>
      </c>
      <c r="O52">
        <v>0</v>
      </c>
      <c r="P52">
        <v>0</v>
      </c>
      <c r="Q52">
        <v>0</v>
      </c>
      <c r="R52">
        <v>0</v>
      </c>
      <c r="S52">
        <v>24</v>
      </c>
      <c r="T52">
        <v>3</v>
      </c>
      <c r="U52">
        <v>5491.8</v>
      </c>
      <c r="V52">
        <v>9.4</v>
      </c>
      <c r="W52">
        <v>11.13</v>
      </c>
      <c r="X52">
        <v>11.38</v>
      </c>
      <c r="Y52">
        <v>94.49</v>
      </c>
    </row>
    <row r="53" spans="1:25" x14ac:dyDescent="0.3">
      <c r="A53" s="30"/>
      <c r="B53" s="2">
        <v>44971</v>
      </c>
      <c r="C53" s="1" t="s">
        <v>38</v>
      </c>
      <c r="D53" s="1" t="s">
        <v>34</v>
      </c>
      <c r="E53">
        <v>20.95</v>
      </c>
      <c r="F53">
        <v>29014.799999999999</v>
      </c>
      <c r="G53">
        <v>274</v>
      </c>
      <c r="H53">
        <v>19.350000000000001</v>
      </c>
      <c r="I53">
        <v>1.6</v>
      </c>
      <c r="J53">
        <v>0</v>
      </c>
      <c r="K53">
        <v>0</v>
      </c>
      <c r="L53">
        <v>0</v>
      </c>
      <c r="M53">
        <v>20.97</v>
      </c>
      <c r="N53">
        <v>19.37</v>
      </c>
      <c r="O53">
        <v>0</v>
      </c>
      <c r="P53">
        <v>0</v>
      </c>
      <c r="Q53">
        <v>0</v>
      </c>
      <c r="R53">
        <v>0</v>
      </c>
      <c r="S53">
        <v>24</v>
      </c>
      <c r="T53">
        <v>3</v>
      </c>
      <c r="U53">
        <v>5491.8</v>
      </c>
      <c r="V53">
        <v>9.4</v>
      </c>
      <c r="W53">
        <v>11.13</v>
      </c>
      <c r="X53">
        <v>11.42</v>
      </c>
      <c r="Y53">
        <v>93.29</v>
      </c>
    </row>
    <row r="54" spans="1:25" x14ac:dyDescent="0.3">
      <c r="A54" s="30"/>
      <c r="B54" s="2">
        <v>44972</v>
      </c>
      <c r="C54" s="1" t="s">
        <v>38</v>
      </c>
      <c r="D54" s="1" t="s">
        <v>34</v>
      </c>
      <c r="E54">
        <v>21.05</v>
      </c>
      <c r="F54">
        <v>29014.799999999999</v>
      </c>
      <c r="G54">
        <v>270</v>
      </c>
      <c r="H54">
        <v>19.399999999999999</v>
      </c>
      <c r="I54">
        <v>1.6</v>
      </c>
      <c r="J54">
        <v>0</v>
      </c>
      <c r="K54">
        <v>0</v>
      </c>
      <c r="L54">
        <v>0</v>
      </c>
      <c r="M54">
        <v>21.04</v>
      </c>
      <c r="N54">
        <v>19.420000000000002</v>
      </c>
      <c r="O54">
        <v>0</v>
      </c>
      <c r="P54">
        <v>0</v>
      </c>
      <c r="Q54">
        <v>0</v>
      </c>
      <c r="R54">
        <v>0</v>
      </c>
      <c r="S54">
        <v>24</v>
      </c>
      <c r="T54">
        <v>3</v>
      </c>
      <c r="U54">
        <v>5491.8</v>
      </c>
      <c r="V54">
        <v>9.4</v>
      </c>
      <c r="W54">
        <v>10.96</v>
      </c>
      <c r="X54">
        <v>11.25</v>
      </c>
      <c r="Y54">
        <v>94.47</v>
      </c>
    </row>
    <row r="55" spans="1:25" x14ac:dyDescent="0.3">
      <c r="A55" s="30"/>
      <c r="B55" s="2">
        <v>44973</v>
      </c>
      <c r="C55" s="1" t="s">
        <v>38</v>
      </c>
      <c r="D55" s="1" t="s">
        <v>34</v>
      </c>
      <c r="E55">
        <v>21.05</v>
      </c>
      <c r="F55">
        <v>29014.799999999999</v>
      </c>
      <c r="G55">
        <v>268</v>
      </c>
      <c r="H55">
        <v>19.45</v>
      </c>
      <c r="I55">
        <v>1.6</v>
      </c>
      <c r="J55">
        <v>0</v>
      </c>
      <c r="K55">
        <v>0</v>
      </c>
      <c r="L55">
        <v>0</v>
      </c>
      <c r="M55">
        <v>21.06</v>
      </c>
      <c r="N55">
        <v>19.46</v>
      </c>
      <c r="O55">
        <v>0</v>
      </c>
      <c r="P55">
        <v>0</v>
      </c>
      <c r="Q55">
        <v>0</v>
      </c>
      <c r="R55">
        <v>0</v>
      </c>
      <c r="S55">
        <v>24</v>
      </c>
      <c r="T55">
        <v>3</v>
      </c>
      <c r="U55">
        <v>5491.8</v>
      </c>
      <c r="V55">
        <v>9.4</v>
      </c>
      <c r="W55">
        <v>11.04</v>
      </c>
      <c r="X55">
        <v>11.17</v>
      </c>
      <c r="Y55">
        <v>93.78</v>
      </c>
    </row>
    <row r="56" spans="1:25" x14ac:dyDescent="0.3">
      <c r="A56" s="30"/>
      <c r="B56" s="2">
        <v>44974</v>
      </c>
      <c r="C56" s="1" t="s">
        <v>38</v>
      </c>
      <c r="D56" s="1" t="s">
        <v>34</v>
      </c>
      <c r="E56">
        <v>21</v>
      </c>
      <c r="F56">
        <v>29014.799999999999</v>
      </c>
      <c r="G56">
        <v>255</v>
      </c>
      <c r="H56">
        <v>19.399999999999999</v>
      </c>
      <c r="I56">
        <v>1.6</v>
      </c>
      <c r="J56">
        <v>0</v>
      </c>
      <c r="K56">
        <v>0</v>
      </c>
      <c r="L56">
        <v>0</v>
      </c>
      <c r="M56">
        <v>21</v>
      </c>
      <c r="N56">
        <v>19.420000000000002</v>
      </c>
      <c r="O56">
        <v>0</v>
      </c>
      <c r="P56">
        <v>0</v>
      </c>
      <c r="Q56">
        <v>0</v>
      </c>
      <c r="R56">
        <v>0</v>
      </c>
      <c r="S56">
        <v>24</v>
      </c>
      <c r="T56">
        <v>3</v>
      </c>
      <c r="U56">
        <v>5491.8</v>
      </c>
      <c r="V56">
        <v>9.4</v>
      </c>
      <c r="W56">
        <v>10.88</v>
      </c>
      <c r="X56">
        <v>10.63</v>
      </c>
      <c r="Y56">
        <v>94.49</v>
      </c>
    </row>
    <row r="57" spans="1:25" x14ac:dyDescent="0.3">
      <c r="A57" s="30"/>
      <c r="B57" s="2">
        <v>44975</v>
      </c>
      <c r="C57" s="1" t="s">
        <v>38</v>
      </c>
      <c r="D57" s="1" t="s">
        <v>34</v>
      </c>
      <c r="E57">
        <v>21</v>
      </c>
      <c r="F57">
        <v>29014.799999999999</v>
      </c>
      <c r="G57">
        <v>257</v>
      </c>
      <c r="H57">
        <v>19.399999999999999</v>
      </c>
      <c r="I57">
        <v>1.6</v>
      </c>
      <c r="J57">
        <v>0</v>
      </c>
      <c r="K57">
        <v>0</v>
      </c>
      <c r="L57">
        <v>0</v>
      </c>
      <c r="M57">
        <v>21</v>
      </c>
      <c r="N57">
        <v>19.39</v>
      </c>
      <c r="O57">
        <v>0</v>
      </c>
      <c r="P57">
        <v>0</v>
      </c>
      <c r="Q57">
        <v>0</v>
      </c>
      <c r="R57">
        <v>0</v>
      </c>
      <c r="S57">
        <v>24</v>
      </c>
      <c r="T57">
        <v>4</v>
      </c>
      <c r="U57">
        <v>5491.8</v>
      </c>
      <c r="V57">
        <v>9.4</v>
      </c>
      <c r="W57">
        <v>10.58</v>
      </c>
      <c r="X57">
        <v>10.71</v>
      </c>
      <c r="Y57">
        <v>94.3</v>
      </c>
    </row>
    <row r="58" spans="1:25" x14ac:dyDescent="0.3">
      <c r="A58" s="30"/>
      <c r="B58" s="2">
        <v>44976</v>
      </c>
      <c r="C58" s="1" t="s">
        <v>38</v>
      </c>
      <c r="D58" s="1" t="s">
        <v>34</v>
      </c>
      <c r="E58">
        <v>21</v>
      </c>
      <c r="F58">
        <v>29014.799999999999</v>
      </c>
      <c r="G58">
        <v>242</v>
      </c>
      <c r="H58">
        <v>19.45</v>
      </c>
      <c r="I58">
        <v>0</v>
      </c>
      <c r="J58">
        <v>1.55</v>
      </c>
      <c r="K58">
        <v>0</v>
      </c>
      <c r="L58">
        <v>0</v>
      </c>
      <c r="M58">
        <v>21</v>
      </c>
      <c r="N58">
        <v>19.43</v>
      </c>
      <c r="O58">
        <v>0</v>
      </c>
      <c r="P58">
        <v>0</v>
      </c>
      <c r="Q58">
        <v>0</v>
      </c>
      <c r="R58">
        <v>0</v>
      </c>
      <c r="S58">
        <v>24</v>
      </c>
      <c r="T58">
        <v>5</v>
      </c>
      <c r="U58">
        <v>5491.8</v>
      </c>
      <c r="V58">
        <v>9.4</v>
      </c>
      <c r="W58">
        <v>10.210000000000001</v>
      </c>
      <c r="X58">
        <v>10.08</v>
      </c>
      <c r="Y58">
        <v>94.56</v>
      </c>
    </row>
    <row r="59" spans="1:25" x14ac:dyDescent="0.3">
      <c r="A59" s="30"/>
      <c r="B59" s="2">
        <v>44977</v>
      </c>
      <c r="C59" s="1" t="s">
        <v>38</v>
      </c>
      <c r="D59" s="1" t="s">
        <v>34</v>
      </c>
      <c r="E59">
        <v>21</v>
      </c>
      <c r="F59">
        <v>29014.799999999999</v>
      </c>
      <c r="G59">
        <v>240</v>
      </c>
      <c r="H59">
        <v>19.45</v>
      </c>
      <c r="I59">
        <v>1.55</v>
      </c>
      <c r="J59">
        <v>0</v>
      </c>
      <c r="K59">
        <v>0</v>
      </c>
      <c r="L59">
        <v>0</v>
      </c>
      <c r="M59">
        <v>21</v>
      </c>
      <c r="N59">
        <v>19.45</v>
      </c>
      <c r="O59">
        <v>0</v>
      </c>
      <c r="P59">
        <v>0</v>
      </c>
      <c r="Q59">
        <v>0</v>
      </c>
      <c r="R59">
        <v>0</v>
      </c>
      <c r="S59">
        <v>24</v>
      </c>
      <c r="T59">
        <v>5</v>
      </c>
      <c r="U59">
        <v>5491.8</v>
      </c>
      <c r="V59">
        <v>9.4</v>
      </c>
      <c r="W59">
        <v>10.130000000000001</v>
      </c>
      <c r="X59">
        <v>10</v>
      </c>
      <c r="Y59">
        <v>92.58</v>
      </c>
    </row>
    <row r="60" spans="1:25" x14ac:dyDescent="0.3">
      <c r="A60" s="30"/>
      <c r="B60" s="2">
        <v>44978</v>
      </c>
      <c r="C60" s="1" t="s">
        <v>38</v>
      </c>
      <c r="D60" s="1" t="s">
        <v>34</v>
      </c>
      <c r="E60">
        <v>21</v>
      </c>
      <c r="F60">
        <v>29014.799999999999</v>
      </c>
      <c r="G60">
        <v>241</v>
      </c>
      <c r="H60">
        <v>19.45</v>
      </c>
      <c r="I60">
        <v>1.55</v>
      </c>
      <c r="J60">
        <v>0</v>
      </c>
      <c r="K60">
        <v>0</v>
      </c>
      <c r="L60">
        <v>0</v>
      </c>
      <c r="M60">
        <v>21</v>
      </c>
      <c r="N60">
        <v>19.440000000000001</v>
      </c>
      <c r="O60">
        <v>0</v>
      </c>
      <c r="P60">
        <v>0</v>
      </c>
      <c r="Q60">
        <v>0</v>
      </c>
      <c r="R60">
        <v>0</v>
      </c>
      <c r="S60">
        <v>24</v>
      </c>
      <c r="T60">
        <v>5</v>
      </c>
      <c r="U60">
        <v>5491.8</v>
      </c>
      <c r="V60">
        <v>9.4</v>
      </c>
      <c r="W60">
        <v>10.08</v>
      </c>
      <c r="X60">
        <v>10.039999999999999</v>
      </c>
      <c r="Y60">
        <v>94.33</v>
      </c>
    </row>
    <row r="61" spans="1:25" x14ac:dyDescent="0.3">
      <c r="A61" s="30"/>
      <c r="B61" s="2">
        <v>44979</v>
      </c>
      <c r="C61" s="1" t="s">
        <v>38</v>
      </c>
      <c r="D61" s="1" t="s">
        <v>34</v>
      </c>
      <c r="E61">
        <v>21</v>
      </c>
      <c r="F61">
        <v>29014.799999999999</v>
      </c>
      <c r="G61">
        <v>245</v>
      </c>
      <c r="H61">
        <v>19.399999999999999</v>
      </c>
      <c r="I61">
        <v>1.6</v>
      </c>
      <c r="J61">
        <v>0</v>
      </c>
      <c r="K61">
        <v>0</v>
      </c>
      <c r="L61">
        <v>0</v>
      </c>
      <c r="M61">
        <v>21</v>
      </c>
      <c r="N61">
        <v>19.41</v>
      </c>
      <c r="O61">
        <v>0</v>
      </c>
      <c r="P61">
        <v>0</v>
      </c>
      <c r="Q61">
        <v>0</v>
      </c>
      <c r="R61">
        <v>0</v>
      </c>
      <c r="S61">
        <v>24</v>
      </c>
      <c r="T61">
        <v>5</v>
      </c>
      <c r="U61">
        <v>5491.8</v>
      </c>
      <c r="V61">
        <v>9.4</v>
      </c>
      <c r="W61">
        <v>10.46</v>
      </c>
      <c r="X61">
        <v>10.210000000000001</v>
      </c>
      <c r="Y61">
        <v>94.99</v>
      </c>
    </row>
    <row r="62" spans="1:25" x14ac:dyDescent="0.3">
      <c r="A62" s="30"/>
      <c r="B62" s="29">
        <v>44980</v>
      </c>
      <c r="C62" s="1" t="s">
        <v>40</v>
      </c>
      <c r="D62" s="1" t="s">
        <v>34</v>
      </c>
      <c r="E62">
        <v>13.1</v>
      </c>
      <c r="F62">
        <v>29014.799999999999</v>
      </c>
      <c r="G62">
        <v>138</v>
      </c>
      <c r="H62">
        <v>12.5</v>
      </c>
      <c r="I62">
        <v>0.5</v>
      </c>
      <c r="J62">
        <v>0.1</v>
      </c>
      <c r="K62">
        <v>0</v>
      </c>
      <c r="L62">
        <v>0</v>
      </c>
      <c r="M62">
        <v>13</v>
      </c>
      <c r="N62">
        <v>12.5</v>
      </c>
      <c r="O62">
        <v>0</v>
      </c>
      <c r="P62">
        <v>0</v>
      </c>
      <c r="Q62">
        <v>0</v>
      </c>
      <c r="R62">
        <v>0.1</v>
      </c>
      <c r="S62">
        <v>14</v>
      </c>
      <c r="T62">
        <v>5</v>
      </c>
      <c r="U62">
        <v>5491.8</v>
      </c>
      <c r="V62">
        <v>9.35</v>
      </c>
      <c r="W62">
        <v>10.71</v>
      </c>
      <c r="X62">
        <v>9.86</v>
      </c>
      <c r="Y62">
        <v>93</v>
      </c>
    </row>
    <row r="63" spans="1:25" x14ac:dyDescent="0.3">
      <c r="A63" s="30"/>
      <c r="B63" s="30"/>
      <c r="C63" s="1" t="s">
        <v>28</v>
      </c>
      <c r="D63" s="1" t="s">
        <v>34</v>
      </c>
      <c r="E63">
        <v>2.2000000000000002</v>
      </c>
      <c r="F63">
        <v>29014.799999999999</v>
      </c>
      <c r="G63">
        <v>32</v>
      </c>
      <c r="H63">
        <v>2</v>
      </c>
      <c r="I63">
        <v>0</v>
      </c>
      <c r="J63">
        <v>0.2</v>
      </c>
      <c r="K63">
        <v>0</v>
      </c>
      <c r="L63">
        <v>0</v>
      </c>
      <c r="M63">
        <v>2</v>
      </c>
      <c r="N63">
        <v>2</v>
      </c>
      <c r="O63">
        <v>0</v>
      </c>
      <c r="P63">
        <v>0</v>
      </c>
      <c r="Q63">
        <v>0</v>
      </c>
      <c r="R63">
        <v>0.2</v>
      </c>
      <c r="S63">
        <v>6.4</v>
      </c>
      <c r="T63">
        <v>2</v>
      </c>
      <c r="U63">
        <v>5491.8</v>
      </c>
      <c r="V63">
        <v>9.35</v>
      </c>
      <c r="W63">
        <v>5.47</v>
      </c>
      <c r="X63">
        <v>5</v>
      </c>
      <c r="Y63">
        <v>47.73</v>
      </c>
    </row>
    <row r="64" spans="1:25" x14ac:dyDescent="0.3">
      <c r="A64" s="30"/>
      <c r="B64" s="30"/>
      <c r="C64" s="1" t="s">
        <v>32</v>
      </c>
      <c r="D64" s="1" t="s">
        <v>34</v>
      </c>
      <c r="E64">
        <v>0.2</v>
      </c>
      <c r="F64">
        <v>29014.799999999999</v>
      </c>
      <c r="G64">
        <v>0</v>
      </c>
      <c r="H64">
        <v>0</v>
      </c>
      <c r="I64">
        <v>0</v>
      </c>
      <c r="J64">
        <v>0.2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0.2</v>
      </c>
      <c r="S64">
        <v>0</v>
      </c>
      <c r="T64">
        <v>2</v>
      </c>
      <c r="U64">
        <v>0</v>
      </c>
      <c r="V64">
        <v>9.35</v>
      </c>
      <c r="W64">
        <v>0</v>
      </c>
      <c r="X64">
        <v>0</v>
      </c>
      <c r="Y64">
        <v>0</v>
      </c>
    </row>
    <row r="65" spans="1:25" x14ac:dyDescent="0.3">
      <c r="A65" s="30"/>
      <c r="B65" s="29">
        <v>44981</v>
      </c>
      <c r="C65" s="1" t="s">
        <v>41</v>
      </c>
      <c r="D65" s="1" t="s">
        <v>34</v>
      </c>
      <c r="E65">
        <v>2.0499999999999998</v>
      </c>
      <c r="F65">
        <v>29014.799999999999</v>
      </c>
      <c r="G65">
        <v>0</v>
      </c>
      <c r="H65">
        <v>0</v>
      </c>
      <c r="I65">
        <v>1.1499999999999999</v>
      </c>
      <c r="J65">
        <v>0.9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2.04</v>
      </c>
      <c r="S65">
        <v>0</v>
      </c>
      <c r="T65">
        <v>1</v>
      </c>
      <c r="U65">
        <v>0</v>
      </c>
      <c r="V65">
        <v>9.4250000000000007</v>
      </c>
      <c r="W65">
        <v>0</v>
      </c>
      <c r="X65">
        <v>0</v>
      </c>
      <c r="Y65">
        <v>0</v>
      </c>
    </row>
    <row r="66" spans="1:25" x14ac:dyDescent="0.3">
      <c r="A66" s="30"/>
      <c r="B66" s="30"/>
      <c r="C66" s="1" t="s">
        <v>39</v>
      </c>
      <c r="D66" s="1" t="s">
        <v>34</v>
      </c>
      <c r="E66">
        <v>2.9</v>
      </c>
      <c r="F66">
        <v>29014.799999999999</v>
      </c>
      <c r="G66">
        <v>42</v>
      </c>
      <c r="H66">
        <v>2.65</v>
      </c>
      <c r="I66">
        <v>0.25</v>
      </c>
      <c r="J66">
        <v>0</v>
      </c>
      <c r="K66">
        <v>0</v>
      </c>
      <c r="L66">
        <v>0</v>
      </c>
      <c r="M66">
        <v>2.89</v>
      </c>
      <c r="N66">
        <v>2.66</v>
      </c>
      <c r="O66">
        <v>0</v>
      </c>
      <c r="P66">
        <v>0</v>
      </c>
      <c r="Q66">
        <v>0</v>
      </c>
      <c r="R66">
        <v>0</v>
      </c>
      <c r="S66">
        <v>3.5</v>
      </c>
      <c r="T66">
        <v>4</v>
      </c>
      <c r="U66">
        <v>4813.8</v>
      </c>
      <c r="V66">
        <v>9.4250000000000007</v>
      </c>
      <c r="W66">
        <v>12.29</v>
      </c>
      <c r="X66">
        <v>12</v>
      </c>
      <c r="Y66">
        <v>95.05</v>
      </c>
    </row>
    <row r="67" spans="1:25" x14ac:dyDescent="0.3">
      <c r="A67" s="30"/>
      <c r="B67" s="30"/>
      <c r="C67" s="1" t="s">
        <v>42</v>
      </c>
      <c r="D67" s="1" t="s">
        <v>34</v>
      </c>
      <c r="E67">
        <v>0.55000000000000004</v>
      </c>
      <c r="F67">
        <v>29014.799999999999</v>
      </c>
      <c r="G67">
        <v>7</v>
      </c>
      <c r="H67">
        <v>0.3</v>
      </c>
      <c r="I67">
        <v>0.15</v>
      </c>
      <c r="J67">
        <v>0.1</v>
      </c>
      <c r="K67">
        <v>0</v>
      </c>
      <c r="L67">
        <v>0</v>
      </c>
      <c r="M67">
        <v>0.3</v>
      </c>
      <c r="N67">
        <v>0.3</v>
      </c>
      <c r="O67">
        <v>0</v>
      </c>
      <c r="P67">
        <v>0</v>
      </c>
      <c r="Q67">
        <v>0</v>
      </c>
      <c r="R67">
        <v>0.25</v>
      </c>
      <c r="S67">
        <v>2.2000000000000002</v>
      </c>
      <c r="T67">
        <v>3</v>
      </c>
      <c r="U67">
        <v>0</v>
      </c>
      <c r="V67">
        <v>9.4250000000000007</v>
      </c>
      <c r="W67">
        <v>3.18</v>
      </c>
      <c r="X67">
        <v>3.18</v>
      </c>
      <c r="Y67">
        <v>0</v>
      </c>
    </row>
    <row r="68" spans="1:25" x14ac:dyDescent="0.3">
      <c r="A68" s="30"/>
      <c r="B68" s="2">
        <v>44982</v>
      </c>
      <c r="C68" s="1" t="s">
        <v>37</v>
      </c>
      <c r="D68" s="1" t="s">
        <v>34</v>
      </c>
      <c r="E68">
        <v>20.95</v>
      </c>
      <c r="F68">
        <v>29014.799999999999</v>
      </c>
      <c r="G68">
        <v>301</v>
      </c>
      <c r="H68">
        <v>19.5</v>
      </c>
      <c r="I68">
        <v>1.45</v>
      </c>
      <c r="J68">
        <v>0</v>
      </c>
      <c r="K68">
        <v>0</v>
      </c>
      <c r="L68">
        <v>0</v>
      </c>
      <c r="M68">
        <v>20.97</v>
      </c>
      <c r="N68">
        <v>19.52</v>
      </c>
      <c r="O68">
        <v>0</v>
      </c>
      <c r="P68">
        <v>0</v>
      </c>
      <c r="Q68">
        <v>0</v>
      </c>
      <c r="R68">
        <v>0</v>
      </c>
      <c r="S68">
        <v>24</v>
      </c>
      <c r="T68">
        <v>4</v>
      </c>
      <c r="U68">
        <v>5356.2</v>
      </c>
      <c r="V68">
        <v>9.4250000000000007</v>
      </c>
      <c r="W68">
        <v>12.38</v>
      </c>
      <c r="X68">
        <v>12.54</v>
      </c>
      <c r="Y68">
        <v>96.83</v>
      </c>
    </row>
    <row r="69" spans="1:25" x14ac:dyDescent="0.3">
      <c r="A69" s="30"/>
      <c r="B69" s="2">
        <v>44983</v>
      </c>
      <c r="C69" s="1" t="s">
        <v>38</v>
      </c>
      <c r="D69" s="1" t="s">
        <v>34</v>
      </c>
      <c r="E69">
        <v>21</v>
      </c>
      <c r="F69">
        <v>29014.799999999999</v>
      </c>
      <c r="G69">
        <v>316</v>
      </c>
      <c r="H69">
        <v>19.5</v>
      </c>
      <c r="I69">
        <v>1.5</v>
      </c>
      <c r="J69">
        <v>0</v>
      </c>
      <c r="K69">
        <v>0</v>
      </c>
      <c r="L69">
        <v>0</v>
      </c>
      <c r="M69">
        <v>20.98</v>
      </c>
      <c r="N69">
        <v>19.5</v>
      </c>
      <c r="O69">
        <v>0</v>
      </c>
      <c r="P69">
        <v>0</v>
      </c>
      <c r="Q69">
        <v>0</v>
      </c>
      <c r="R69">
        <v>0</v>
      </c>
      <c r="S69">
        <v>24</v>
      </c>
      <c r="T69">
        <v>3</v>
      </c>
      <c r="U69">
        <v>5356.2</v>
      </c>
      <c r="V69">
        <v>9.4250000000000007</v>
      </c>
      <c r="W69">
        <v>13.04</v>
      </c>
      <c r="X69">
        <v>13.17</v>
      </c>
      <c r="Y69">
        <v>98.59</v>
      </c>
    </row>
    <row r="70" spans="1:25" x14ac:dyDescent="0.3">
      <c r="A70" s="30"/>
      <c r="B70" s="2">
        <v>44984</v>
      </c>
      <c r="C70" s="1" t="s">
        <v>38</v>
      </c>
      <c r="D70" s="1" t="s">
        <v>34</v>
      </c>
      <c r="E70">
        <v>20.100000000000001</v>
      </c>
      <c r="F70">
        <v>29014.799999999999</v>
      </c>
      <c r="G70">
        <v>305</v>
      </c>
      <c r="H70">
        <v>18.7</v>
      </c>
      <c r="I70">
        <v>1.4</v>
      </c>
      <c r="J70">
        <v>0</v>
      </c>
      <c r="K70">
        <v>0</v>
      </c>
      <c r="L70">
        <v>0</v>
      </c>
      <c r="M70">
        <v>20.09</v>
      </c>
      <c r="N70">
        <v>18.68</v>
      </c>
      <c r="O70">
        <v>0</v>
      </c>
      <c r="P70">
        <v>0</v>
      </c>
      <c r="Q70">
        <v>0</v>
      </c>
      <c r="R70">
        <v>0</v>
      </c>
      <c r="S70">
        <v>23</v>
      </c>
      <c r="T70">
        <v>5</v>
      </c>
      <c r="U70">
        <v>5220.6000000000004</v>
      </c>
      <c r="V70">
        <v>9.4250000000000007</v>
      </c>
      <c r="W70">
        <v>12.87</v>
      </c>
      <c r="X70">
        <v>13.26</v>
      </c>
      <c r="Y70">
        <v>98.11</v>
      </c>
    </row>
    <row r="71" spans="1:25" x14ac:dyDescent="0.3">
      <c r="A71" s="30"/>
      <c r="B71" s="2">
        <v>44985</v>
      </c>
      <c r="C71" s="1" t="s">
        <v>38</v>
      </c>
      <c r="D71" s="1" t="s">
        <v>34</v>
      </c>
      <c r="E71">
        <v>21</v>
      </c>
      <c r="F71">
        <v>29014.799999999999</v>
      </c>
      <c r="G71">
        <v>269</v>
      </c>
      <c r="H71">
        <v>19.5</v>
      </c>
      <c r="I71">
        <v>1.45</v>
      </c>
      <c r="J71">
        <v>0</v>
      </c>
      <c r="K71">
        <v>0</v>
      </c>
      <c r="L71">
        <v>0</v>
      </c>
      <c r="M71">
        <v>20.98</v>
      </c>
      <c r="N71">
        <v>19.52</v>
      </c>
      <c r="O71">
        <v>0</v>
      </c>
      <c r="P71">
        <v>0</v>
      </c>
      <c r="Q71">
        <v>0</v>
      </c>
      <c r="R71">
        <v>0</v>
      </c>
      <c r="S71">
        <v>24</v>
      </c>
      <c r="T71">
        <v>7</v>
      </c>
      <c r="U71">
        <v>5220.6000000000004</v>
      </c>
      <c r="V71">
        <v>9.4250000000000007</v>
      </c>
      <c r="W71">
        <v>11.5</v>
      </c>
      <c r="X71">
        <v>11.21</v>
      </c>
      <c r="Y71">
        <v>96.82</v>
      </c>
    </row>
    <row r="72" spans="1:25" x14ac:dyDescent="0.3">
      <c r="A72" s="30"/>
      <c r="B72" s="2">
        <v>44986</v>
      </c>
      <c r="C72" s="1" t="s">
        <v>38</v>
      </c>
      <c r="D72" s="1" t="s">
        <v>34</v>
      </c>
      <c r="E72">
        <v>21.05</v>
      </c>
      <c r="F72">
        <v>29014.799999999999</v>
      </c>
      <c r="G72">
        <v>220</v>
      </c>
      <c r="H72">
        <v>19.600000000000001</v>
      </c>
      <c r="I72">
        <v>1.45</v>
      </c>
      <c r="J72">
        <v>0</v>
      </c>
      <c r="K72">
        <v>0</v>
      </c>
      <c r="L72">
        <v>0</v>
      </c>
      <c r="M72">
        <v>21.07</v>
      </c>
      <c r="N72">
        <v>19.62</v>
      </c>
      <c r="O72">
        <v>0</v>
      </c>
      <c r="P72">
        <v>0</v>
      </c>
      <c r="Q72">
        <v>0</v>
      </c>
      <c r="R72">
        <v>0</v>
      </c>
      <c r="S72">
        <v>24</v>
      </c>
      <c r="T72">
        <v>7</v>
      </c>
      <c r="U72">
        <v>5559.6</v>
      </c>
      <c r="V72">
        <v>9.4250000000000007</v>
      </c>
      <c r="W72">
        <v>9.2899999999999991</v>
      </c>
      <c r="X72">
        <v>9.17</v>
      </c>
      <c r="Y72">
        <v>93.18</v>
      </c>
    </row>
    <row r="73" spans="1:25" x14ac:dyDescent="0.3">
      <c r="A73" s="30"/>
      <c r="B73" s="29">
        <v>44987</v>
      </c>
      <c r="C73" s="1" t="s">
        <v>40</v>
      </c>
      <c r="D73" s="1" t="s">
        <v>34</v>
      </c>
      <c r="E73">
        <v>8.4499999999999993</v>
      </c>
      <c r="F73">
        <v>29014.799999999999</v>
      </c>
      <c r="G73">
        <v>124</v>
      </c>
      <c r="H73">
        <v>7.5</v>
      </c>
      <c r="I73">
        <v>0.95</v>
      </c>
      <c r="J73">
        <v>0</v>
      </c>
      <c r="K73">
        <v>0</v>
      </c>
      <c r="L73">
        <v>0</v>
      </c>
      <c r="M73">
        <v>8</v>
      </c>
      <c r="N73">
        <v>7.5</v>
      </c>
      <c r="O73">
        <v>0</v>
      </c>
      <c r="P73">
        <v>0</v>
      </c>
      <c r="Q73">
        <v>0</v>
      </c>
      <c r="R73">
        <v>0.45</v>
      </c>
      <c r="S73">
        <v>13</v>
      </c>
      <c r="T73">
        <v>5</v>
      </c>
      <c r="U73">
        <v>5559.6</v>
      </c>
      <c r="V73">
        <v>9.4</v>
      </c>
      <c r="W73">
        <v>9.85</v>
      </c>
      <c r="X73">
        <v>9.5399999999999991</v>
      </c>
      <c r="Y73">
        <v>90.87</v>
      </c>
    </row>
    <row r="74" spans="1:25" x14ac:dyDescent="0.3">
      <c r="A74" s="30"/>
      <c r="B74" s="30"/>
      <c r="C74" s="1" t="s">
        <v>28</v>
      </c>
      <c r="D74" s="1" t="s">
        <v>34</v>
      </c>
      <c r="E74">
        <v>2.15</v>
      </c>
      <c r="F74">
        <v>29014.799999999999</v>
      </c>
      <c r="G74">
        <v>39</v>
      </c>
      <c r="H74">
        <v>1.5</v>
      </c>
      <c r="I74">
        <v>0.5</v>
      </c>
      <c r="J74">
        <v>0.15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1.5</v>
      </c>
      <c r="R74">
        <v>0.66</v>
      </c>
      <c r="S74">
        <v>6.5</v>
      </c>
      <c r="T74">
        <v>2</v>
      </c>
      <c r="U74">
        <v>0</v>
      </c>
      <c r="V74">
        <v>9.4</v>
      </c>
      <c r="W74">
        <v>6.15</v>
      </c>
      <c r="X74">
        <v>6</v>
      </c>
      <c r="Y74">
        <v>0</v>
      </c>
    </row>
    <row r="75" spans="1:25" x14ac:dyDescent="0.3">
      <c r="A75" s="30"/>
      <c r="B75" s="30"/>
      <c r="C75" s="1" t="s">
        <v>32</v>
      </c>
      <c r="D75" s="1" t="s">
        <v>34</v>
      </c>
      <c r="E75">
        <v>0.4</v>
      </c>
      <c r="F75">
        <v>28234</v>
      </c>
      <c r="G75">
        <v>0</v>
      </c>
      <c r="H75">
        <v>0</v>
      </c>
      <c r="I75">
        <v>0.25</v>
      </c>
      <c r="J75">
        <v>0.15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0.42</v>
      </c>
      <c r="S75">
        <v>0</v>
      </c>
      <c r="T75">
        <v>1</v>
      </c>
      <c r="U75">
        <v>0</v>
      </c>
      <c r="V75">
        <v>9.1750000000000007</v>
      </c>
      <c r="W75">
        <v>0</v>
      </c>
      <c r="X75">
        <v>0</v>
      </c>
      <c r="Y75">
        <v>0</v>
      </c>
    </row>
    <row r="76" spans="1:25" x14ac:dyDescent="0.3">
      <c r="A76" s="30"/>
      <c r="B76" s="2">
        <v>44988</v>
      </c>
      <c r="C76" s="1" t="s">
        <v>44</v>
      </c>
      <c r="D76" s="1" t="s">
        <v>34</v>
      </c>
      <c r="E76">
        <v>3.2</v>
      </c>
      <c r="F76">
        <v>25034</v>
      </c>
      <c r="G76">
        <v>0</v>
      </c>
      <c r="H76">
        <v>0</v>
      </c>
      <c r="I76">
        <v>2</v>
      </c>
      <c r="J76">
        <v>1.2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3.18</v>
      </c>
      <c r="S76">
        <v>0</v>
      </c>
      <c r="T76">
        <v>1</v>
      </c>
      <c r="U76">
        <v>0</v>
      </c>
      <c r="V76">
        <v>8.0500000000000007</v>
      </c>
      <c r="W76">
        <v>0</v>
      </c>
      <c r="X76">
        <v>0</v>
      </c>
      <c r="Y76">
        <v>0</v>
      </c>
    </row>
    <row r="77" spans="1:25" x14ac:dyDescent="0.3">
      <c r="A77" s="30"/>
      <c r="B77" s="29">
        <v>44989</v>
      </c>
      <c r="C77" s="1" t="s">
        <v>41</v>
      </c>
      <c r="D77" s="1" t="s">
        <v>34</v>
      </c>
      <c r="E77">
        <v>0.75</v>
      </c>
      <c r="F77">
        <v>12641</v>
      </c>
      <c r="G77">
        <v>0</v>
      </c>
      <c r="H77">
        <v>0</v>
      </c>
      <c r="I77">
        <v>0.45</v>
      </c>
      <c r="J77">
        <v>0.3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0.77</v>
      </c>
      <c r="S77">
        <v>0</v>
      </c>
      <c r="T77">
        <v>1</v>
      </c>
      <c r="U77">
        <v>0</v>
      </c>
      <c r="V77">
        <v>6.8</v>
      </c>
      <c r="W77">
        <v>0</v>
      </c>
      <c r="X77">
        <v>0</v>
      </c>
      <c r="Y77">
        <v>0</v>
      </c>
    </row>
    <row r="78" spans="1:25" x14ac:dyDescent="0.3">
      <c r="A78" s="30"/>
      <c r="B78" s="30"/>
      <c r="C78" s="1" t="s">
        <v>31</v>
      </c>
      <c r="D78" s="1" t="s">
        <v>34</v>
      </c>
      <c r="E78">
        <v>3</v>
      </c>
      <c r="F78">
        <v>17094</v>
      </c>
      <c r="G78">
        <v>0</v>
      </c>
      <c r="H78">
        <v>0</v>
      </c>
      <c r="I78">
        <v>1.95</v>
      </c>
      <c r="J78">
        <v>1.05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2.98</v>
      </c>
      <c r="S78">
        <v>0</v>
      </c>
      <c r="T78">
        <v>1</v>
      </c>
      <c r="U78">
        <v>0</v>
      </c>
      <c r="V78">
        <v>7.9</v>
      </c>
      <c r="W78">
        <v>0</v>
      </c>
      <c r="X78">
        <v>0</v>
      </c>
      <c r="Y78">
        <v>0</v>
      </c>
    </row>
    <row r="79" spans="1:25" x14ac:dyDescent="0.3">
      <c r="A79" s="30"/>
      <c r="B79" s="30"/>
      <c r="C79" s="1" t="s">
        <v>42</v>
      </c>
      <c r="D79" s="1" t="s">
        <v>34</v>
      </c>
      <c r="E79">
        <v>0.6</v>
      </c>
      <c r="F79">
        <v>12641</v>
      </c>
      <c r="G79">
        <v>6</v>
      </c>
      <c r="H79">
        <v>0.4</v>
      </c>
      <c r="I79">
        <v>0.1</v>
      </c>
      <c r="J79">
        <v>0.1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0.38</v>
      </c>
      <c r="R79">
        <v>0.2</v>
      </c>
      <c r="S79">
        <v>1</v>
      </c>
      <c r="T79">
        <v>2</v>
      </c>
      <c r="U79">
        <v>0</v>
      </c>
      <c r="V79">
        <v>6.8</v>
      </c>
      <c r="W79">
        <v>6</v>
      </c>
      <c r="X79">
        <v>6</v>
      </c>
      <c r="Y79">
        <v>0</v>
      </c>
    </row>
    <row r="80" spans="1:25" x14ac:dyDescent="0.3">
      <c r="A80" s="30"/>
      <c r="B80" s="2">
        <v>44990</v>
      </c>
      <c r="C80" s="1" t="s">
        <v>45</v>
      </c>
      <c r="D80" s="1" t="s">
        <v>34</v>
      </c>
      <c r="E80">
        <v>12.1</v>
      </c>
      <c r="F80">
        <v>12641</v>
      </c>
      <c r="G80">
        <v>202</v>
      </c>
      <c r="H80">
        <v>11.25</v>
      </c>
      <c r="I80">
        <v>0.9</v>
      </c>
      <c r="J80">
        <v>0</v>
      </c>
      <c r="K80">
        <v>0</v>
      </c>
      <c r="L80">
        <v>0</v>
      </c>
      <c r="M80">
        <v>12.11</v>
      </c>
      <c r="N80">
        <v>11.23</v>
      </c>
      <c r="O80">
        <v>0</v>
      </c>
      <c r="P80">
        <v>0</v>
      </c>
      <c r="Q80">
        <v>0</v>
      </c>
      <c r="R80">
        <v>0</v>
      </c>
      <c r="S80">
        <v>15</v>
      </c>
      <c r="T80">
        <v>3</v>
      </c>
      <c r="U80">
        <v>5424</v>
      </c>
      <c r="V80">
        <v>6.8</v>
      </c>
      <c r="W80">
        <v>14.29</v>
      </c>
      <c r="X80">
        <v>13.47</v>
      </c>
      <c r="Y80">
        <v>94.04</v>
      </c>
    </row>
    <row r="81" spans="1:25" x14ac:dyDescent="0.3">
      <c r="A81" s="30"/>
      <c r="B81" s="29">
        <v>44991</v>
      </c>
      <c r="C81" s="1" t="s">
        <v>39</v>
      </c>
      <c r="D81" s="1" t="s">
        <v>34</v>
      </c>
      <c r="E81">
        <v>21.1</v>
      </c>
      <c r="F81">
        <v>12641</v>
      </c>
      <c r="G81">
        <v>324</v>
      </c>
      <c r="H81">
        <v>19.7</v>
      </c>
      <c r="I81">
        <v>1.4</v>
      </c>
      <c r="J81">
        <v>0</v>
      </c>
      <c r="K81">
        <v>0</v>
      </c>
      <c r="L81">
        <v>0</v>
      </c>
      <c r="M81">
        <v>20.58</v>
      </c>
      <c r="N81">
        <v>19.46</v>
      </c>
      <c r="O81">
        <v>0</v>
      </c>
      <c r="P81">
        <v>0</v>
      </c>
      <c r="Q81">
        <v>0.26</v>
      </c>
      <c r="R81">
        <v>0.28000000000000003</v>
      </c>
      <c r="S81">
        <v>24</v>
      </c>
      <c r="T81">
        <v>3</v>
      </c>
      <c r="U81">
        <v>4610.3999999999996</v>
      </c>
      <c r="V81">
        <v>6.75</v>
      </c>
      <c r="W81">
        <v>13.5</v>
      </c>
      <c r="X81">
        <v>13.5</v>
      </c>
      <c r="Y81">
        <v>97.3</v>
      </c>
    </row>
    <row r="82" spans="1:25" x14ac:dyDescent="0.3">
      <c r="A82" s="30"/>
      <c r="B82" s="30"/>
      <c r="C82" s="1" t="s">
        <v>46</v>
      </c>
      <c r="D82" s="1" t="s">
        <v>34</v>
      </c>
      <c r="E82">
        <v>1.35</v>
      </c>
      <c r="F82">
        <v>12641</v>
      </c>
      <c r="G82">
        <v>26</v>
      </c>
      <c r="H82">
        <v>1.2</v>
      </c>
      <c r="I82">
        <v>0.15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1.2</v>
      </c>
      <c r="R82">
        <v>0.15</v>
      </c>
      <c r="S82">
        <v>2</v>
      </c>
      <c r="T82">
        <v>3</v>
      </c>
      <c r="U82">
        <v>2983.2</v>
      </c>
      <c r="V82">
        <v>6.85</v>
      </c>
      <c r="W82">
        <v>12.5</v>
      </c>
      <c r="X82">
        <v>13</v>
      </c>
      <c r="Y82">
        <v>90.5</v>
      </c>
    </row>
    <row r="83" spans="1:25" x14ac:dyDescent="0.3">
      <c r="A83" s="30"/>
      <c r="B83" s="29">
        <v>44992</v>
      </c>
      <c r="C83" s="1" t="s">
        <v>28</v>
      </c>
      <c r="D83" s="1" t="s">
        <v>34</v>
      </c>
      <c r="E83">
        <v>0.85</v>
      </c>
      <c r="F83">
        <v>12641</v>
      </c>
      <c r="G83">
        <v>4</v>
      </c>
      <c r="H83">
        <v>0.2</v>
      </c>
      <c r="I83">
        <v>0.4</v>
      </c>
      <c r="J83">
        <v>0.25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0.18</v>
      </c>
      <c r="R83">
        <v>0.66999999999999993</v>
      </c>
      <c r="S83">
        <v>3.3</v>
      </c>
      <c r="T83">
        <v>2</v>
      </c>
      <c r="U83">
        <v>0</v>
      </c>
      <c r="V83">
        <v>6.85</v>
      </c>
      <c r="W83">
        <v>1.21</v>
      </c>
      <c r="X83">
        <v>1.21</v>
      </c>
      <c r="Y83">
        <v>0</v>
      </c>
    </row>
    <row r="84" spans="1:25" x14ac:dyDescent="0.3">
      <c r="A84" s="30"/>
      <c r="B84" s="30"/>
      <c r="C84" s="1" t="s">
        <v>47</v>
      </c>
      <c r="D84" s="1" t="s">
        <v>34</v>
      </c>
      <c r="E84">
        <v>3.45</v>
      </c>
      <c r="F84">
        <v>12641</v>
      </c>
      <c r="G84">
        <v>15</v>
      </c>
      <c r="H84">
        <v>0.6</v>
      </c>
      <c r="I84">
        <v>1.6</v>
      </c>
      <c r="J84">
        <v>1.2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0.62</v>
      </c>
      <c r="R84">
        <v>2.81</v>
      </c>
      <c r="S84">
        <v>2</v>
      </c>
      <c r="T84">
        <v>2</v>
      </c>
      <c r="U84">
        <v>0</v>
      </c>
      <c r="V84">
        <v>6.85</v>
      </c>
      <c r="W84">
        <v>7.5</v>
      </c>
      <c r="X84">
        <v>7.5</v>
      </c>
      <c r="Y84">
        <v>0</v>
      </c>
    </row>
    <row r="85" spans="1:25" x14ac:dyDescent="0.3">
      <c r="A85" s="30"/>
      <c r="B85" s="2">
        <v>44993</v>
      </c>
      <c r="C85" s="1" t="s">
        <v>29</v>
      </c>
      <c r="D85" s="1" t="s">
        <v>34</v>
      </c>
      <c r="E85">
        <v>1.95</v>
      </c>
      <c r="F85">
        <v>10592</v>
      </c>
      <c r="G85">
        <v>0</v>
      </c>
      <c r="H85">
        <v>0</v>
      </c>
      <c r="I85">
        <v>1.2</v>
      </c>
      <c r="J85">
        <v>0.8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1.96</v>
      </c>
      <c r="S85">
        <v>0</v>
      </c>
      <c r="T85">
        <v>2</v>
      </c>
      <c r="U85">
        <v>0</v>
      </c>
      <c r="V85">
        <v>5.7</v>
      </c>
      <c r="W85">
        <v>0</v>
      </c>
      <c r="X85">
        <v>0</v>
      </c>
      <c r="Y85">
        <v>0</v>
      </c>
    </row>
    <row r="86" spans="1:25" x14ac:dyDescent="0.3">
      <c r="A86" s="30"/>
      <c r="B86" s="2">
        <v>44994</v>
      </c>
      <c r="C86" s="1" t="s">
        <v>30</v>
      </c>
      <c r="D86" s="1" t="s">
        <v>34</v>
      </c>
      <c r="E86">
        <v>3.4</v>
      </c>
      <c r="F86">
        <v>0</v>
      </c>
      <c r="G86">
        <v>0</v>
      </c>
      <c r="H86">
        <v>0</v>
      </c>
      <c r="I86">
        <v>2.2999999999999998</v>
      </c>
      <c r="J86">
        <v>1.1000000000000001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3.4</v>
      </c>
      <c r="S86">
        <v>0</v>
      </c>
      <c r="T86">
        <v>2</v>
      </c>
      <c r="U86">
        <v>0</v>
      </c>
      <c r="V86">
        <v>4.8499999999999996</v>
      </c>
      <c r="W86">
        <v>0</v>
      </c>
      <c r="X86">
        <v>0</v>
      </c>
      <c r="Y86">
        <v>0</v>
      </c>
    </row>
    <row r="87" spans="1:25" x14ac:dyDescent="0.3">
      <c r="A87" s="30">
        <v>57</v>
      </c>
      <c r="B87" s="2">
        <v>44994</v>
      </c>
      <c r="C87" s="1" t="s">
        <v>36</v>
      </c>
      <c r="D87" s="1" t="s">
        <v>26</v>
      </c>
      <c r="E87">
        <v>0.3</v>
      </c>
      <c r="F87">
        <v>0</v>
      </c>
      <c r="G87">
        <v>0</v>
      </c>
      <c r="H87">
        <v>0</v>
      </c>
      <c r="I87">
        <v>0.2</v>
      </c>
      <c r="J87">
        <v>0.1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0.31</v>
      </c>
      <c r="S87">
        <v>0</v>
      </c>
      <c r="T87">
        <v>2</v>
      </c>
      <c r="U87">
        <v>0</v>
      </c>
      <c r="V87">
        <v>4.8499999999999996</v>
      </c>
      <c r="W87">
        <v>0</v>
      </c>
      <c r="X87">
        <v>0</v>
      </c>
      <c r="Y87">
        <v>0</v>
      </c>
    </row>
    <row r="88" spans="1:25" x14ac:dyDescent="0.3">
      <c r="A88" s="30"/>
      <c r="B88" s="2">
        <v>44995</v>
      </c>
      <c r="C88" s="1" t="s">
        <v>48</v>
      </c>
      <c r="D88" s="1" t="s">
        <v>26</v>
      </c>
      <c r="E88">
        <v>3.8</v>
      </c>
      <c r="F88">
        <v>0</v>
      </c>
      <c r="G88">
        <v>42</v>
      </c>
      <c r="H88">
        <v>1.5</v>
      </c>
      <c r="I88">
        <v>1.45</v>
      </c>
      <c r="J88">
        <v>0.85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1.49</v>
      </c>
      <c r="R88">
        <v>2.31</v>
      </c>
      <c r="S88">
        <v>1.5</v>
      </c>
      <c r="T88">
        <v>2</v>
      </c>
      <c r="U88">
        <v>0</v>
      </c>
      <c r="V88">
        <v>4.8499999999999996</v>
      </c>
      <c r="W88">
        <v>52.5</v>
      </c>
      <c r="X88">
        <v>28</v>
      </c>
      <c r="Y88">
        <v>0</v>
      </c>
    </row>
    <row r="89" spans="1:25" x14ac:dyDescent="0.3">
      <c r="A89" s="30"/>
      <c r="B89" s="29">
        <v>44996</v>
      </c>
      <c r="C89" s="1" t="s">
        <v>42</v>
      </c>
      <c r="D89" s="1" t="s">
        <v>26</v>
      </c>
      <c r="E89">
        <v>1.3</v>
      </c>
      <c r="F89">
        <v>0</v>
      </c>
      <c r="G89">
        <v>0</v>
      </c>
      <c r="H89">
        <v>0</v>
      </c>
      <c r="I89">
        <v>0.8</v>
      </c>
      <c r="J89">
        <v>0.5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1.29</v>
      </c>
      <c r="S89">
        <v>0</v>
      </c>
      <c r="T89">
        <v>3</v>
      </c>
      <c r="U89">
        <v>0</v>
      </c>
      <c r="V89">
        <v>4.8499999999999996</v>
      </c>
      <c r="W89">
        <v>0</v>
      </c>
      <c r="X89">
        <v>0</v>
      </c>
      <c r="Y89">
        <v>0</v>
      </c>
    </row>
    <row r="90" spans="1:25" x14ac:dyDescent="0.3">
      <c r="A90" s="30"/>
      <c r="B90" s="30"/>
      <c r="C90" s="1" t="s">
        <v>37</v>
      </c>
      <c r="D90" s="1" t="s">
        <v>26</v>
      </c>
      <c r="E90">
        <v>7.9</v>
      </c>
      <c r="F90">
        <v>0</v>
      </c>
      <c r="G90">
        <v>148</v>
      </c>
      <c r="H90">
        <v>7.1</v>
      </c>
      <c r="I90">
        <v>0.8</v>
      </c>
      <c r="J90">
        <v>0</v>
      </c>
      <c r="K90">
        <v>0</v>
      </c>
      <c r="L90">
        <v>0</v>
      </c>
      <c r="M90">
        <v>7.92</v>
      </c>
      <c r="N90">
        <v>7.1</v>
      </c>
      <c r="O90">
        <v>0</v>
      </c>
      <c r="P90">
        <v>0</v>
      </c>
      <c r="Q90">
        <v>0</v>
      </c>
      <c r="R90">
        <v>0</v>
      </c>
      <c r="S90">
        <v>11.9833</v>
      </c>
      <c r="T90">
        <v>4</v>
      </c>
      <c r="U90">
        <v>4610.3999999999996</v>
      </c>
      <c r="V90">
        <v>4.8499999999999996</v>
      </c>
      <c r="W90">
        <v>12.08</v>
      </c>
      <c r="X90">
        <v>12.35</v>
      </c>
      <c r="Y90">
        <v>80.680000000000007</v>
      </c>
    </row>
    <row r="91" spans="1:25" x14ac:dyDescent="0.3">
      <c r="A91" s="30"/>
      <c r="B91" s="2">
        <v>44997</v>
      </c>
      <c r="C91" s="1" t="s">
        <v>49</v>
      </c>
      <c r="D91" s="1" t="s">
        <v>26</v>
      </c>
      <c r="E91">
        <v>15.85</v>
      </c>
      <c r="F91">
        <v>0</v>
      </c>
      <c r="G91">
        <v>312</v>
      </c>
      <c r="H91">
        <v>14.3</v>
      </c>
      <c r="I91">
        <v>1.55</v>
      </c>
      <c r="J91">
        <v>0</v>
      </c>
      <c r="K91">
        <v>0</v>
      </c>
      <c r="L91">
        <v>0</v>
      </c>
      <c r="M91">
        <v>15.85</v>
      </c>
      <c r="N91">
        <v>14.32</v>
      </c>
      <c r="O91">
        <v>0</v>
      </c>
      <c r="P91">
        <v>0</v>
      </c>
      <c r="Q91">
        <v>0</v>
      </c>
      <c r="R91">
        <v>0</v>
      </c>
      <c r="S91">
        <v>24</v>
      </c>
      <c r="T91">
        <v>4</v>
      </c>
      <c r="U91">
        <v>4068</v>
      </c>
      <c r="V91">
        <v>4.8499999999999996</v>
      </c>
      <c r="W91">
        <v>12.54</v>
      </c>
      <c r="X91">
        <v>13</v>
      </c>
      <c r="Y91">
        <v>85.55</v>
      </c>
    </row>
    <row r="92" spans="1:25" x14ac:dyDescent="0.3">
      <c r="A92" s="30"/>
      <c r="B92" s="29">
        <v>44998</v>
      </c>
      <c r="C92" s="1" t="s">
        <v>39</v>
      </c>
      <c r="D92" s="1" t="s">
        <v>26</v>
      </c>
      <c r="E92">
        <v>15.95</v>
      </c>
      <c r="F92">
        <v>0</v>
      </c>
      <c r="G92">
        <v>303</v>
      </c>
      <c r="H92">
        <v>14.4</v>
      </c>
      <c r="I92">
        <v>1.55</v>
      </c>
      <c r="J92">
        <v>0</v>
      </c>
      <c r="K92">
        <v>0</v>
      </c>
      <c r="L92">
        <v>0</v>
      </c>
      <c r="M92">
        <v>15.95</v>
      </c>
      <c r="N92">
        <v>14.4</v>
      </c>
      <c r="O92">
        <v>0</v>
      </c>
      <c r="P92">
        <v>0</v>
      </c>
      <c r="Q92">
        <v>0</v>
      </c>
      <c r="R92">
        <v>0</v>
      </c>
      <c r="S92">
        <v>23</v>
      </c>
      <c r="T92">
        <v>4</v>
      </c>
      <c r="U92">
        <v>4203.6000000000004</v>
      </c>
      <c r="V92">
        <v>4.8499999999999996</v>
      </c>
      <c r="W92">
        <v>12.7</v>
      </c>
      <c r="X92">
        <v>13.17</v>
      </c>
      <c r="Y92">
        <v>87.96</v>
      </c>
    </row>
    <row r="93" spans="1:25" x14ac:dyDescent="0.3">
      <c r="A93" s="30"/>
      <c r="B93" s="30"/>
      <c r="C93" s="1" t="s">
        <v>50</v>
      </c>
      <c r="D93" s="1" t="s">
        <v>26</v>
      </c>
      <c r="E93">
        <v>2.35</v>
      </c>
      <c r="F93">
        <v>0</v>
      </c>
      <c r="G93">
        <v>51</v>
      </c>
      <c r="H93">
        <v>2.2999999999999998</v>
      </c>
      <c r="I93">
        <v>0.05</v>
      </c>
      <c r="J93">
        <v>0</v>
      </c>
      <c r="K93">
        <v>0</v>
      </c>
      <c r="L93">
        <v>0</v>
      </c>
      <c r="M93">
        <v>2.37</v>
      </c>
      <c r="N93">
        <v>2.31</v>
      </c>
      <c r="O93">
        <v>0</v>
      </c>
      <c r="P93">
        <v>0</v>
      </c>
      <c r="Q93">
        <v>0</v>
      </c>
      <c r="R93">
        <v>0</v>
      </c>
      <c r="S93">
        <v>4</v>
      </c>
      <c r="T93">
        <v>3</v>
      </c>
      <c r="U93">
        <v>4068</v>
      </c>
      <c r="V93">
        <v>5.0999999999999996</v>
      </c>
      <c r="W93">
        <v>11.5</v>
      </c>
      <c r="X93">
        <v>12.75</v>
      </c>
      <c r="Y93">
        <v>94.95</v>
      </c>
    </row>
    <row r="94" spans="1:25" x14ac:dyDescent="0.3">
      <c r="A94" s="30"/>
      <c r="B94" s="2">
        <v>44999</v>
      </c>
      <c r="C94" s="1" t="s">
        <v>47</v>
      </c>
      <c r="D94" s="1" t="s">
        <v>26</v>
      </c>
      <c r="E94">
        <v>3.1</v>
      </c>
      <c r="F94">
        <v>0</v>
      </c>
      <c r="G94">
        <v>29</v>
      </c>
      <c r="H94">
        <v>1.2</v>
      </c>
      <c r="I94">
        <v>1.3</v>
      </c>
      <c r="J94">
        <v>0.6</v>
      </c>
      <c r="K94">
        <v>0</v>
      </c>
      <c r="L94">
        <v>0</v>
      </c>
      <c r="M94">
        <v>3.09</v>
      </c>
      <c r="N94">
        <v>1.21</v>
      </c>
      <c r="O94">
        <v>0</v>
      </c>
      <c r="P94">
        <v>0</v>
      </c>
      <c r="Q94">
        <v>0</v>
      </c>
      <c r="R94">
        <v>0</v>
      </c>
      <c r="S94">
        <v>3.5</v>
      </c>
      <c r="T94">
        <v>2</v>
      </c>
      <c r="U94">
        <v>0</v>
      </c>
      <c r="V94">
        <v>4.95</v>
      </c>
      <c r="W94">
        <v>8</v>
      </c>
      <c r="X94">
        <v>8.2899999999999991</v>
      </c>
      <c r="Y94">
        <v>0</v>
      </c>
    </row>
    <row r="95" spans="1:25" x14ac:dyDescent="0.3">
      <c r="A95" s="30"/>
      <c r="B95" s="29">
        <v>45000</v>
      </c>
      <c r="C95" s="1" t="s">
        <v>29</v>
      </c>
      <c r="D95" s="1" t="s">
        <v>26</v>
      </c>
      <c r="E95">
        <v>1.8</v>
      </c>
      <c r="F95">
        <v>400</v>
      </c>
      <c r="G95">
        <v>0</v>
      </c>
      <c r="H95">
        <v>0</v>
      </c>
      <c r="I95">
        <v>1.35</v>
      </c>
      <c r="J95">
        <v>0.4</v>
      </c>
      <c r="K95">
        <v>0</v>
      </c>
      <c r="L95">
        <v>0</v>
      </c>
      <c r="M95">
        <v>1.79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</v>
      </c>
      <c r="U95">
        <v>0</v>
      </c>
      <c r="V95">
        <v>5.05</v>
      </c>
      <c r="W95">
        <v>0</v>
      </c>
      <c r="X95">
        <v>0</v>
      </c>
      <c r="Y95">
        <v>0</v>
      </c>
    </row>
    <row r="96" spans="1:25" x14ac:dyDescent="0.3">
      <c r="A96" s="30"/>
      <c r="B96" s="30"/>
      <c r="C96" s="1" t="s">
        <v>28</v>
      </c>
      <c r="D96" s="1" t="s">
        <v>26</v>
      </c>
      <c r="E96">
        <v>1.7</v>
      </c>
      <c r="F96">
        <v>0</v>
      </c>
      <c r="G96">
        <v>14</v>
      </c>
      <c r="H96">
        <v>0.3</v>
      </c>
      <c r="I96">
        <v>0.9</v>
      </c>
      <c r="J96">
        <v>0.45</v>
      </c>
      <c r="K96">
        <v>0</v>
      </c>
      <c r="L96">
        <v>0</v>
      </c>
      <c r="M96">
        <v>1.71</v>
      </c>
      <c r="N96">
        <v>0.32</v>
      </c>
      <c r="O96">
        <v>0</v>
      </c>
      <c r="P96">
        <v>0</v>
      </c>
      <c r="Q96">
        <v>0</v>
      </c>
      <c r="R96">
        <v>0</v>
      </c>
      <c r="S96">
        <v>3.9</v>
      </c>
      <c r="T96">
        <v>2</v>
      </c>
      <c r="U96">
        <v>0</v>
      </c>
      <c r="V96">
        <v>4.95</v>
      </c>
      <c r="W96">
        <v>3.59</v>
      </c>
      <c r="X96">
        <v>3.59</v>
      </c>
      <c r="Y96">
        <v>0</v>
      </c>
    </row>
    <row r="97" spans="1:25" x14ac:dyDescent="0.3">
      <c r="A97" s="30"/>
      <c r="B97" s="2">
        <v>45001</v>
      </c>
      <c r="C97" s="1" t="s">
        <v>30</v>
      </c>
      <c r="D97" s="1" t="s">
        <v>26</v>
      </c>
      <c r="E97">
        <v>5.2</v>
      </c>
      <c r="F97">
        <v>1700</v>
      </c>
      <c r="G97">
        <v>0</v>
      </c>
      <c r="H97">
        <v>0</v>
      </c>
      <c r="I97">
        <v>4.3</v>
      </c>
      <c r="J97">
        <v>0.9</v>
      </c>
      <c r="K97">
        <v>0</v>
      </c>
      <c r="L97">
        <v>0</v>
      </c>
      <c r="M97">
        <v>5.22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</v>
      </c>
      <c r="U97">
        <v>0</v>
      </c>
      <c r="V97">
        <v>5.4</v>
      </c>
      <c r="W97">
        <v>0</v>
      </c>
      <c r="X97">
        <v>0</v>
      </c>
      <c r="Y97">
        <v>0</v>
      </c>
    </row>
    <row r="98" spans="1:25" x14ac:dyDescent="0.3">
      <c r="A98" s="30"/>
      <c r="B98" s="2">
        <v>45002</v>
      </c>
      <c r="C98" s="1" t="s">
        <v>31</v>
      </c>
      <c r="D98" s="1" t="s">
        <v>26</v>
      </c>
      <c r="E98">
        <v>4.8</v>
      </c>
      <c r="F98">
        <v>2220</v>
      </c>
      <c r="G98">
        <v>0</v>
      </c>
      <c r="H98">
        <v>0</v>
      </c>
      <c r="I98">
        <v>3.95</v>
      </c>
      <c r="J98">
        <v>0.85</v>
      </c>
      <c r="K98">
        <v>0</v>
      </c>
      <c r="L98">
        <v>0</v>
      </c>
      <c r="M98">
        <v>4.8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</v>
      </c>
      <c r="U98">
        <v>0</v>
      </c>
      <c r="V98">
        <v>5.2</v>
      </c>
      <c r="W98">
        <v>0</v>
      </c>
      <c r="X98">
        <v>0</v>
      </c>
      <c r="Y98">
        <v>0</v>
      </c>
    </row>
    <row r="99" spans="1:25" x14ac:dyDescent="0.3">
      <c r="A99" s="30"/>
      <c r="B99" s="2">
        <v>45003</v>
      </c>
      <c r="C99" s="1" t="s">
        <v>31</v>
      </c>
      <c r="D99" s="1" t="s">
        <v>26</v>
      </c>
      <c r="E99">
        <v>4.4000000000000004</v>
      </c>
      <c r="F99">
        <v>3082</v>
      </c>
      <c r="G99">
        <v>0</v>
      </c>
      <c r="H99">
        <v>0</v>
      </c>
      <c r="I99">
        <v>3.55</v>
      </c>
      <c r="J99">
        <v>0.85</v>
      </c>
      <c r="K99">
        <v>0</v>
      </c>
      <c r="L99">
        <v>0</v>
      </c>
      <c r="M99">
        <v>4.3999999999999986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5.3849999999999998</v>
      </c>
      <c r="W99">
        <v>0</v>
      </c>
      <c r="X99">
        <v>0</v>
      </c>
      <c r="Y99">
        <v>0</v>
      </c>
    </row>
    <row r="100" spans="1:25" x14ac:dyDescent="0.3">
      <c r="A100" s="30"/>
      <c r="B100" s="2">
        <v>45004</v>
      </c>
      <c r="C100" s="1" t="s">
        <v>31</v>
      </c>
      <c r="D100" s="1" t="s">
        <v>26</v>
      </c>
      <c r="E100">
        <v>4.55</v>
      </c>
      <c r="F100">
        <v>3742</v>
      </c>
      <c r="G100">
        <v>0</v>
      </c>
      <c r="H100">
        <v>0</v>
      </c>
      <c r="I100">
        <v>3.65</v>
      </c>
      <c r="J100">
        <v>0.9</v>
      </c>
      <c r="K100">
        <v>0</v>
      </c>
      <c r="L100">
        <v>0</v>
      </c>
      <c r="M100">
        <v>4.54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5.4749999999999996</v>
      </c>
      <c r="W100">
        <v>0</v>
      </c>
      <c r="X100">
        <v>0</v>
      </c>
      <c r="Y100">
        <v>0</v>
      </c>
    </row>
    <row r="101" spans="1:25" x14ac:dyDescent="0.3">
      <c r="A101" s="30"/>
      <c r="B101" s="2">
        <v>45005</v>
      </c>
      <c r="C101" s="1" t="s">
        <v>31</v>
      </c>
      <c r="D101" s="1" t="s">
        <v>26</v>
      </c>
      <c r="E101">
        <v>4.1500000000000004</v>
      </c>
      <c r="F101">
        <v>5030</v>
      </c>
      <c r="G101">
        <v>0</v>
      </c>
      <c r="H101">
        <v>0</v>
      </c>
      <c r="I101">
        <v>3.3</v>
      </c>
      <c r="J101">
        <v>0.85</v>
      </c>
      <c r="K101">
        <v>0</v>
      </c>
      <c r="L101">
        <v>0</v>
      </c>
      <c r="M101">
        <v>4.16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4.95</v>
      </c>
      <c r="W101">
        <v>0</v>
      </c>
      <c r="X101">
        <v>0</v>
      </c>
      <c r="Y101">
        <v>0</v>
      </c>
    </row>
    <row r="102" spans="1:25" x14ac:dyDescent="0.3">
      <c r="A102" s="30"/>
      <c r="B102" s="29">
        <v>45006</v>
      </c>
      <c r="C102" s="1" t="s">
        <v>41</v>
      </c>
      <c r="D102" s="1" t="s">
        <v>34</v>
      </c>
      <c r="E102">
        <v>0.2</v>
      </c>
      <c r="F102">
        <v>6000</v>
      </c>
      <c r="G102">
        <v>0</v>
      </c>
      <c r="H102">
        <v>0</v>
      </c>
      <c r="I102">
        <v>0.15</v>
      </c>
      <c r="J102">
        <v>0.1</v>
      </c>
      <c r="K102">
        <v>0</v>
      </c>
      <c r="L102">
        <v>0</v>
      </c>
      <c r="M102">
        <v>0.22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5.2</v>
      </c>
      <c r="W102">
        <v>0</v>
      </c>
      <c r="X102">
        <v>0</v>
      </c>
      <c r="Y102">
        <v>0</v>
      </c>
    </row>
    <row r="103" spans="1:25" x14ac:dyDescent="0.3">
      <c r="A103" s="30"/>
      <c r="B103" s="30"/>
      <c r="C103" s="1" t="s">
        <v>42</v>
      </c>
      <c r="D103" s="1" t="s">
        <v>34</v>
      </c>
      <c r="E103">
        <v>1.05</v>
      </c>
      <c r="F103">
        <v>6000</v>
      </c>
      <c r="G103">
        <v>16</v>
      </c>
      <c r="H103">
        <v>0.75</v>
      </c>
      <c r="I103">
        <v>0.2</v>
      </c>
      <c r="J103">
        <v>0.15</v>
      </c>
      <c r="K103">
        <v>0</v>
      </c>
      <c r="L103">
        <v>0</v>
      </c>
      <c r="M103">
        <v>0.96</v>
      </c>
      <c r="N103">
        <v>0.73</v>
      </c>
      <c r="O103">
        <v>0</v>
      </c>
      <c r="P103">
        <v>0</v>
      </c>
      <c r="Q103">
        <v>0</v>
      </c>
      <c r="R103">
        <v>0.1</v>
      </c>
      <c r="S103">
        <v>2.2999999999999998</v>
      </c>
      <c r="T103">
        <v>3</v>
      </c>
      <c r="U103">
        <v>0</v>
      </c>
      <c r="V103">
        <v>5.2</v>
      </c>
      <c r="W103">
        <v>6.96</v>
      </c>
      <c r="X103">
        <v>6.96</v>
      </c>
      <c r="Y103">
        <v>0</v>
      </c>
    </row>
    <row r="104" spans="1:25" x14ac:dyDescent="0.3">
      <c r="A104" s="30"/>
      <c r="B104" s="30"/>
      <c r="C104" s="1" t="s">
        <v>51</v>
      </c>
      <c r="D104" s="1" t="s">
        <v>26</v>
      </c>
      <c r="E104">
        <v>3.35</v>
      </c>
      <c r="F104">
        <v>6000</v>
      </c>
      <c r="G104">
        <v>0</v>
      </c>
      <c r="H104">
        <v>0</v>
      </c>
      <c r="I104">
        <v>2.5</v>
      </c>
      <c r="J104">
        <v>0.9</v>
      </c>
      <c r="K104">
        <v>0</v>
      </c>
      <c r="L104">
        <v>0</v>
      </c>
      <c r="M104">
        <v>3.36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5.2</v>
      </c>
      <c r="W104">
        <v>0</v>
      </c>
      <c r="X104">
        <v>0</v>
      </c>
      <c r="Y104">
        <v>0</v>
      </c>
    </row>
    <row r="105" spans="1:25" x14ac:dyDescent="0.3">
      <c r="A105" s="30"/>
      <c r="B105" s="29">
        <v>45007</v>
      </c>
      <c r="C105" s="1" t="s">
        <v>39</v>
      </c>
      <c r="D105" s="1" t="s">
        <v>34</v>
      </c>
      <c r="E105">
        <v>14.65</v>
      </c>
      <c r="F105">
        <v>6000</v>
      </c>
      <c r="G105">
        <v>258</v>
      </c>
      <c r="H105">
        <v>13.35</v>
      </c>
      <c r="I105">
        <v>1.25</v>
      </c>
      <c r="J105">
        <v>0.05</v>
      </c>
      <c r="K105">
        <v>0</v>
      </c>
      <c r="L105">
        <v>0</v>
      </c>
      <c r="M105">
        <v>14.26</v>
      </c>
      <c r="N105">
        <v>13.33</v>
      </c>
      <c r="O105">
        <v>0</v>
      </c>
      <c r="P105">
        <v>0</v>
      </c>
      <c r="Q105">
        <v>0</v>
      </c>
      <c r="R105">
        <v>0.38</v>
      </c>
      <c r="S105">
        <v>19</v>
      </c>
      <c r="T105">
        <v>2</v>
      </c>
      <c r="U105">
        <v>4813.8</v>
      </c>
      <c r="V105">
        <v>5.2</v>
      </c>
      <c r="W105">
        <v>12.84</v>
      </c>
      <c r="X105">
        <v>13.58</v>
      </c>
      <c r="Y105">
        <v>94.71</v>
      </c>
    </row>
    <row r="106" spans="1:25" x14ac:dyDescent="0.3">
      <c r="A106" s="30"/>
      <c r="B106" s="30"/>
      <c r="C106" s="1" t="s">
        <v>52</v>
      </c>
      <c r="D106" s="1" t="s">
        <v>34</v>
      </c>
      <c r="E106">
        <v>3.15</v>
      </c>
      <c r="F106">
        <v>6000</v>
      </c>
      <c r="G106">
        <v>47</v>
      </c>
      <c r="H106">
        <v>2.75</v>
      </c>
      <c r="I106">
        <v>0.3</v>
      </c>
      <c r="J106">
        <v>0.1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2.76</v>
      </c>
      <c r="R106">
        <v>0.39</v>
      </c>
      <c r="S106">
        <v>3.5</v>
      </c>
      <c r="T106">
        <v>2</v>
      </c>
      <c r="U106">
        <v>5017.2</v>
      </c>
      <c r="V106">
        <v>5.2</v>
      </c>
      <c r="W106">
        <v>12.86</v>
      </c>
      <c r="X106">
        <v>13.43</v>
      </c>
      <c r="Y106">
        <v>93.05</v>
      </c>
    </row>
    <row r="107" spans="1:25" x14ac:dyDescent="0.3">
      <c r="A107" s="30"/>
      <c r="B107" s="29">
        <v>45008</v>
      </c>
      <c r="C107" s="1" t="s">
        <v>53</v>
      </c>
      <c r="D107" s="1" t="s">
        <v>34</v>
      </c>
      <c r="E107">
        <v>2.4500000000000002</v>
      </c>
      <c r="F107">
        <v>6000</v>
      </c>
      <c r="G107">
        <v>8</v>
      </c>
      <c r="H107">
        <v>0.25</v>
      </c>
      <c r="I107">
        <v>1.4</v>
      </c>
      <c r="J107">
        <v>0.75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0.27</v>
      </c>
      <c r="R107">
        <v>2.16</v>
      </c>
      <c r="S107">
        <v>1.3</v>
      </c>
      <c r="T107">
        <v>2</v>
      </c>
      <c r="U107">
        <v>0</v>
      </c>
      <c r="V107">
        <v>5.2</v>
      </c>
      <c r="W107">
        <v>6.15</v>
      </c>
      <c r="X107">
        <v>6.15</v>
      </c>
      <c r="Y107">
        <v>35.51</v>
      </c>
    </row>
    <row r="108" spans="1:25" x14ac:dyDescent="0.3">
      <c r="A108" s="30"/>
      <c r="B108" s="30"/>
      <c r="C108" s="1" t="s">
        <v>28</v>
      </c>
      <c r="D108" s="1" t="s">
        <v>34</v>
      </c>
      <c r="E108">
        <v>0.55000000000000004</v>
      </c>
      <c r="F108">
        <v>6000</v>
      </c>
      <c r="G108">
        <v>4</v>
      </c>
      <c r="H108">
        <v>0.15</v>
      </c>
      <c r="I108">
        <v>0.25</v>
      </c>
      <c r="J108">
        <v>0.1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0.17</v>
      </c>
      <c r="R108">
        <v>0.39</v>
      </c>
      <c r="S108">
        <v>2.1</v>
      </c>
      <c r="T108">
        <v>1</v>
      </c>
      <c r="U108">
        <v>0</v>
      </c>
      <c r="V108">
        <v>5.2</v>
      </c>
      <c r="W108">
        <v>1.9</v>
      </c>
      <c r="X108">
        <v>1.9</v>
      </c>
      <c r="Y108">
        <v>0</v>
      </c>
    </row>
    <row r="109" spans="1:25" x14ac:dyDescent="0.3">
      <c r="A109" s="30"/>
      <c r="B109" s="2">
        <v>45009</v>
      </c>
      <c r="C109" s="1" t="s">
        <v>31</v>
      </c>
      <c r="D109" s="1" t="s">
        <v>34</v>
      </c>
      <c r="E109">
        <v>2</v>
      </c>
      <c r="F109">
        <v>8280</v>
      </c>
      <c r="G109">
        <v>0</v>
      </c>
      <c r="H109">
        <v>0</v>
      </c>
      <c r="I109">
        <v>1.1000000000000001</v>
      </c>
      <c r="J109">
        <v>0.9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1.98</v>
      </c>
      <c r="S109">
        <v>0</v>
      </c>
      <c r="T109">
        <v>1</v>
      </c>
      <c r="U109">
        <v>0</v>
      </c>
      <c r="V109">
        <v>6.35</v>
      </c>
      <c r="W109">
        <v>0</v>
      </c>
      <c r="X109">
        <v>0</v>
      </c>
      <c r="Y109">
        <v>0</v>
      </c>
    </row>
    <row r="110" spans="1:25" x14ac:dyDescent="0.3">
      <c r="A110" s="30"/>
      <c r="B110" s="2">
        <v>45010</v>
      </c>
      <c r="C110" s="1" t="s">
        <v>31</v>
      </c>
      <c r="D110" s="1" t="s">
        <v>34</v>
      </c>
      <c r="E110">
        <v>2.2999999999999998</v>
      </c>
      <c r="F110">
        <v>12500</v>
      </c>
      <c r="G110">
        <v>0</v>
      </c>
      <c r="H110">
        <v>0</v>
      </c>
      <c r="I110">
        <v>1.4</v>
      </c>
      <c r="J110">
        <v>0.9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2.3199999999999998</v>
      </c>
      <c r="S110">
        <v>0</v>
      </c>
      <c r="T110">
        <v>0</v>
      </c>
      <c r="U110">
        <v>0</v>
      </c>
      <c r="V110">
        <v>6.5</v>
      </c>
      <c r="W110">
        <v>0</v>
      </c>
      <c r="X110">
        <v>0</v>
      </c>
      <c r="Y110">
        <v>0</v>
      </c>
    </row>
    <row r="111" spans="1:25" x14ac:dyDescent="0.3">
      <c r="A111" s="30"/>
      <c r="B111" s="2">
        <v>45011</v>
      </c>
      <c r="C111" s="1" t="s">
        <v>31</v>
      </c>
      <c r="D111" s="1" t="s">
        <v>34</v>
      </c>
      <c r="E111">
        <v>2.5</v>
      </c>
      <c r="F111">
        <v>15635</v>
      </c>
      <c r="G111">
        <v>0</v>
      </c>
      <c r="H111">
        <v>0</v>
      </c>
      <c r="I111">
        <v>1.6</v>
      </c>
      <c r="J111">
        <v>0.9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2.5</v>
      </c>
      <c r="S111">
        <v>0</v>
      </c>
      <c r="T111">
        <v>1</v>
      </c>
      <c r="U111">
        <v>0</v>
      </c>
      <c r="V111">
        <v>6.55</v>
      </c>
      <c r="W111">
        <v>0</v>
      </c>
      <c r="X111">
        <v>0</v>
      </c>
      <c r="Y111">
        <v>0</v>
      </c>
    </row>
    <row r="112" spans="1:25" x14ac:dyDescent="0.3">
      <c r="A112" s="30"/>
      <c r="B112" s="2">
        <v>45012</v>
      </c>
      <c r="C112" s="1" t="s">
        <v>29</v>
      </c>
      <c r="D112" s="1" t="s">
        <v>34</v>
      </c>
      <c r="E112">
        <v>2.35</v>
      </c>
      <c r="F112">
        <v>19850</v>
      </c>
      <c r="G112">
        <v>0</v>
      </c>
      <c r="H112">
        <v>0</v>
      </c>
      <c r="I112">
        <v>1.45</v>
      </c>
      <c r="J112">
        <v>0.9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2.33</v>
      </c>
      <c r="S112">
        <v>0</v>
      </c>
      <c r="T112">
        <v>1</v>
      </c>
      <c r="U112">
        <v>0</v>
      </c>
      <c r="V112">
        <v>7.3</v>
      </c>
      <c r="W112">
        <v>0</v>
      </c>
      <c r="X112">
        <v>0</v>
      </c>
      <c r="Y112">
        <v>0</v>
      </c>
    </row>
    <row r="113" spans="1:25" x14ac:dyDescent="0.3">
      <c r="A113" s="30"/>
      <c r="B113" s="2">
        <v>45013</v>
      </c>
      <c r="C113" s="1" t="s">
        <v>31</v>
      </c>
      <c r="D113" s="1" t="s">
        <v>34</v>
      </c>
      <c r="E113">
        <v>2.4</v>
      </c>
      <c r="F113">
        <v>23772</v>
      </c>
      <c r="G113">
        <v>0</v>
      </c>
      <c r="H113">
        <v>0</v>
      </c>
      <c r="I113">
        <v>1.45</v>
      </c>
      <c r="J113">
        <v>0.9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2.38</v>
      </c>
      <c r="S113">
        <v>0</v>
      </c>
      <c r="T113">
        <v>1</v>
      </c>
      <c r="U113">
        <v>0</v>
      </c>
      <c r="V113">
        <v>8.35</v>
      </c>
      <c r="Y113">
        <v>0</v>
      </c>
    </row>
    <row r="114" spans="1:25" x14ac:dyDescent="0.3">
      <c r="A114" s="30"/>
      <c r="B114" s="29">
        <v>45014</v>
      </c>
      <c r="C114" s="1" t="s">
        <v>41</v>
      </c>
      <c r="D114" s="1" t="s">
        <v>34</v>
      </c>
      <c r="E114">
        <v>0.75</v>
      </c>
      <c r="F114">
        <v>28111.9</v>
      </c>
      <c r="G114">
        <v>0</v>
      </c>
      <c r="H114">
        <v>0</v>
      </c>
      <c r="I114">
        <v>0.45</v>
      </c>
      <c r="J114">
        <v>0.3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0.74</v>
      </c>
      <c r="S114">
        <v>0</v>
      </c>
      <c r="T114">
        <v>2</v>
      </c>
      <c r="U114">
        <v>0</v>
      </c>
      <c r="V114">
        <v>8.6750000000000007</v>
      </c>
      <c r="Y114">
        <v>0</v>
      </c>
    </row>
    <row r="115" spans="1:25" x14ac:dyDescent="0.3">
      <c r="A115" s="30"/>
      <c r="B115" s="30"/>
      <c r="C115" s="1" t="s">
        <v>35</v>
      </c>
      <c r="D115" s="1" t="s">
        <v>34</v>
      </c>
      <c r="E115">
        <v>1.05</v>
      </c>
      <c r="F115">
        <v>28111.9</v>
      </c>
      <c r="G115">
        <v>15</v>
      </c>
      <c r="H115">
        <v>0.85</v>
      </c>
      <c r="I115">
        <v>0.1</v>
      </c>
      <c r="J115">
        <v>0.1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0.84</v>
      </c>
      <c r="R115">
        <v>0.2</v>
      </c>
      <c r="S115">
        <v>1.9</v>
      </c>
      <c r="T115">
        <v>4</v>
      </c>
      <c r="U115">
        <v>2545.85</v>
      </c>
      <c r="V115">
        <v>8.6750000000000007</v>
      </c>
      <c r="W115">
        <v>7.89</v>
      </c>
      <c r="X115">
        <v>7.89</v>
      </c>
      <c r="Y115">
        <v>0</v>
      </c>
    </row>
    <row r="116" spans="1:25" x14ac:dyDescent="0.3">
      <c r="A116" s="30"/>
      <c r="B116" s="30"/>
      <c r="C116" s="1" t="s">
        <v>51</v>
      </c>
      <c r="D116" s="1" t="s">
        <v>34</v>
      </c>
      <c r="E116">
        <v>2.5</v>
      </c>
      <c r="F116">
        <v>26899</v>
      </c>
      <c r="G116">
        <v>0</v>
      </c>
      <c r="H116">
        <v>0</v>
      </c>
      <c r="I116">
        <v>1.6</v>
      </c>
      <c r="J116">
        <v>0.9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2.5</v>
      </c>
      <c r="S116">
        <v>0</v>
      </c>
      <c r="T116">
        <v>2</v>
      </c>
      <c r="U116">
        <v>0</v>
      </c>
      <c r="V116">
        <v>8.5</v>
      </c>
      <c r="Y116">
        <v>0</v>
      </c>
    </row>
    <row r="117" spans="1:25" x14ac:dyDescent="0.3">
      <c r="A117" s="30"/>
      <c r="B117" s="2">
        <v>45015</v>
      </c>
      <c r="C117" s="1" t="s">
        <v>38</v>
      </c>
      <c r="D117" s="1" t="s">
        <v>34</v>
      </c>
      <c r="E117">
        <v>24</v>
      </c>
      <c r="F117">
        <v>28111.9</v>
      </c>
      <c r="G117">
        <v>380</v>
      </c>
      <c r="H117">
        <v>22.3</v>
      </c>
      <c r="I117">
        <v>1.7</v>
      </c>
      <c r="J117">
        <v>0</v>
      </c>
      <c r="K117">
        <v>0</v>
      </c>
      <c r="L117">
        <v>0</v>
      </c>
      <c r="M117">
        <v>23.96</v>
      </c>
      <c r="N117">
        <v>22.3</v>
      </c>
      <c r="O117">
        <v>0</v>
      </c>
      <c r="P117">
        <v>0</v>
      </c>
      <c r="Q117">
        <v>0</v>
      </c>
      <c r="R117">
        <v>0</v>
      </c>
      <c r="S117">
        <v>28.8</v>
      </c>
      <c r="T117">
        <v>3</v>
      </c>
      <c r="U117">
        <v>4661.4399999999996</v>
      </c>
      <c r="V117">
        <v>8.6750000000000007</v>
      </c>
      <c r="W117">
        <v>12.71</v>
      </c>
      <c r="X117">
        <v>13.19</v>
      </c>
      <c r="Y117">
        <v>97.92</v>
      </c>
    </row>
    <row r="118" spans="1:25" x14ac:dyDescent="0.3">
      <c r="A118" s="30"/>
      <c r="B118" s="2">
        <v>45016</v>
      </c>
      <c r="C118" s="1" t="s">
        <v>38</v>
      </c>
      <c r="D118" s="1" t="s">
        <v>34</v>
      </c>
      <c r="E118">
        <v>41.7</v>
      </c>
      <c r="F118">
        <v>28111.9</v>
      </c>
      <c r="G118">
        <v>618</v>
      </c>
      <c r="H118">
        <v>38.799999999999997</v>
      </c>
      <c r="I118">
        <v>2.9</v>
      </c>
      <c r="J118">
        <v>0</v>
      </c>
      <c r="K118">
        <v>0</v>
      </c>
      <c r="L118">
        <v>0</v>
      </c>
      <c r="M118">
        <v>41.72</v>
      </c>
      <c r="N118">
        <v>38.799999999999997</v>
      </c>
      <c r="O118">
        <v>0</v>
      </c>
      <c r="P118">
        <v>0</v>
      </c>
      <c r="Q118">
        <v>0</v>
      </c>
      <c r="R118">
        <v>0</v>
      </c>
      <c r="S118">
        <v>48</v>
      </c>
      <c r="T118">
        <v>3</v>
      </c>
      <c r="U118">
        <v>4883.7700000000004</v>
      </c>
      <c r="V118">
        <v>8.6750000000000007</v>
      </c>
      <c r="W118">
        <v>12.67</v>
      </c>
      <c r="X118">
        <v>12.88</v>
      </c>
      <c r="Y118">
        <v>96.08</v>
      </c>
    </row>
    <row r="119" spans="1:25" x14ac:dyDescent="0.3">
      <c r="A119" s="30"/>
      <c r="B119" s="2">
        <v>45017</v>
      </c>
      <c r="C119" s="1" t="s">
        <v>38</v>
      </c>
      <c r="D119" s="1" t="s">
        <v>34</v>
      </c>
      <c r="E119">
        <v>40.6</v>
      </c>
      <c r="F119">
        <v>28111.9</v>
      </c>
      <c r="G119">
        <v>608</v>
      </c>
      <c r="H119">
        <v>37.6</v>
      </c>
      <c r="I119">
        <v>2.9</v>
      </c>
      <c r="J119">
        <v>0</v>
      </c>
      <c r="K119">
        <v>0</v>
      </c>
      <c r="L119">
        <v>0</v>
      </c>
      <c r="M119">
        <v>40.56</v>
      </c>
      <c r="N119">
        <v>37.64</v>
      </c>
      <c r="O119">
        <v>0</v>
      </c>
      <c r="P119">
        <v>0</v>
      </c>
      <c r="Q119">
        <v>0</v>
      </c>
      <c r="R119">
        <v>0</v>
      </c>
      <c r="S119">
        <v>48</v>
      </c>
      <c r="T119">
        <v>4</v>
      </c>
      <c r="U119">
        <v>4725.87</v>
      </c>
      <c r="V119">
        <v>8.6750000000000007</v>
      </c>
      <c r="W119">
        <v>12.58</v>
      </c>
      <c r="X119">
        <v>12.67</v>
      </c>
      <c r="Y119">
        <v>97.54</v>
      </c>
    </row>
    <row r="120" spans="1:25" x14ac:dyDescent="0.3">
      <c r="A120" s="30"/>
      <c r="B120" s="2">
        <v>45018</v>
      </c>
      <c r="C120" s="1" t="s">
        <v>38</v>
      </c>
      <c r="D120" s="1" t="s">
        <v>34</v>
      </c>
      <c r="E120">
        <v>42.5</v>
      </c>
      <c r="F120">
        <v>28111.9</v>
      </c>
      <c r="G120">
        <v>636</v>
      </c>
      <c r="H120">
        <v>39.5</v>
      </c>
      <c r="I120">
        <v>3</v>
      </c>
      <c r="J120">
        <v>0</v>
      </c>
      <c r="K120">
        <v>0</v>
      </c>
      <c r="L120">
        <v>0</v>
      </c>
      <c r="M120">
        <v>42.5</v>
      </c>
      <c r="N120">
        <v>39.46</v>
      </c>
      <c r="O120">
        <v>0</v>
      </c>
      <c r="P120">
        <v>0</v>
      </c>
      <c r="Q120">
        <v>0</v>
      </c>
      <c r="R120">
        <v>0</v>
      </c>
      <c r="S120">
        <v>50</v>
      </c>
      <c r="T120">
        <v>4</v>
      </c>
      <c r="U120">
        <v>4758.76</v>
      </c>
      <c r="V120">
        <v>8.6750000000000007</v>
      </c>
      <c r="W120">
        <v>12.8</v>
      </c>
      <c r="X120">
        <v>12.72</v>
      </c>
      <c r="Y120">
        <v>97.82</v>
      </c>
    </row>
    <row r="121" spans="1:25" x14ac:dyDescent="0.3">
      <c r="A121" s="30"/>
      <c r="B121" s="29">
        <v>45019</v>
      </c>
      <c r="C121" s="1" t="s">
        <v>45</v>
      </c>
      <c r="D121" s="1" t="s">
        <v>34</v>
      </c>
      <c r="E121">
        <v>19.2</v>
      </c>
      <c r="F121">
        <v>28111.9</v>
      </c>
      <c r="G121">
        <v>239</v>
      </c>
      <c r="H121">
        <v>17.7</v>
      </c>
      <c r="I121">
        <v>1.5</v>
      </c>
      <c r="J121">
        <v>0</v>
      </c>
      <c r="K121">
        <v>0</v>
      </c>
      <c r="L121">
        <v>0</v>
      </c>
      <c r="M121">
        <v>19.2</v>
      </c>
      <c r="N121">
        <v>17.7</v>
      </c>
      <c r="O121">
        <v>0</v>
      </c>
      <c r="P121">
        <v>0</v>
      </c>
      <c r="Q121">
        <v>0</v>
      </c>
      <c r="R121">
        <v>0</v>
      </c>
      <c r="S121">
        <v>24</v>
      </c>
      <c r="T121">
        <v>6</v>
      </c>
      <c r="U121">
        <v>4420.96</v>
      </c>
      <c r="V121">
        <v>8.6750000000000007</v>
      </c>
      <c r="W121">
        <v>9.58</v>
      </c>
      <c r="X121">
        <v>9.9600000000000009</v>
      </c>
      <c r="Y121">
        <v>91.8</v>
      </c>
    </row>
    <row r="122" spans="1:25" x14ac:dyDescent="0.3">
      <c r="A122" s="30"/>
      <c r="B122" s="30"/>
      <c r="C122" s="1" t="s">
        <v>38</v>
      </c>
      <c r="D122" s="1" t="s">
        <v>34</v>
      </c>
      <c r="E122">
        <v>19.2</v>
      </c>
      <c r="F122">
        <v>28111.9</v>
      </c>
      <c r="G122">
        <v>239</v>
      </c>
      <c r="H122">
        <v>17.7</v>
      </c>
      <c r="I122">
        <v>1.5</v>
      </c>
      <c r="J122">
        <v>0</v>
      </c>
      <c r="K122">
        <v>0</v>
      </c>
      <c r="L122">
        <v>0</v>
      </c>
      <c r="M122">
        <v>19.2</v>
      </c>
      <c r="N122">
        <v>17.7</v>
      </c>
      <c r="O122">
        <v>0</v>
      </c>
      <c r="P122">
        <v>0</v>
      </c>
      <c r="Q122">
        <v>0</v>
      </c>
      <c r="R122">
        <v>0</v>
      </c>
      <c r="S122">
        <v>24</v>
      </c>
      <c r="T122">
        <v>6</v>
      </c>
      <c r="U122">
        <v>4420.96</v>
      </c>
      <c r="V122">
        <v>8.6750000000000007</v>
      </c>
      <c r="W122">
        <v>9.58</v>
      </c>
      <c r="X122">
        <v>9.9600000000000009</v>
      </c>
      <c r="Y122">
        <v>91.8</v>
      </c>
    </row>
    <row r="123" spans="1:25" x14ac:dyDescent="0.3">
      <c r="A123" s="30"/>
      <c r="B123" s="2">
        <v>45020</v>
      </c>
      <c r="C123" s="1" t="s">
        <v>39</v>
      </c>
      <c r="D123" s="1" t="s">
        <v>34</v>
      </c>
      <c r="E123">
        <v>19.149999999999999</v>
      </c>
      <c r="F123">
        <v>28111.9</v>
      </c>
      <c r="G123">
        <v>312</v>
      </c>
      <c r="H123">
        <v>17.600000000000001</v>
      </c>
      <c r="I123">
        <v>1.55</v>
      </c>
      <c r="J123">
        <v>0</v>
      </c>
      <c r="K123">
        <v>0</v>
      </c>
      <c r="L123">
        <v>0</v>
      </c>
      <c r="M123">
        <v>19.13</v>
      </c>
      <c r="N123">
        <v>17.600000000000001</v>
      </c>
      <c r="O123">
        <v>0</v>
      </c>
      <c r="P123">
        <v>0</v>
      </c>
      <c r="Q123">
        <v>0</v>
      </c>
      <c r="R123">
        <v>0</v>
      </c>
      <c r="S123">
        <v>24</v>
      </c>
      <c r="T123">
        <v>3</v>
      </c>
      <c r="U123">
        <v>4393.74</v>
      </c>
      <c r="V123">
        <v>8.6750000000000007</v>
      </c>
      <c r="W123">
        <v>13.13</v>
      </c>
      <c r="X123">
        <v>13</v>
      </c>
      <c r="Y123">
        <v>96.47</v>
      </c>
    </row>
    <row r="124" spans="1:25" x14ac:dyDescent="0.3">
      <c r="A124" s="30"/>
      <c r="B124" s="29">
        <v>45021</v>
      </c>
      <c r="C124" s="1" t="s">
        <v>41</v>
      </c>
      <c r="D124" s="1" t="s">
        <v>34</v>
      </c>
      <c r="E124">
        <v>0.05</v>
      </c>
      <c r="F124">
        <v>28111.9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0.03</v>
      </c>
      <c r="S124">
        <v>0</v>
      </c>
      <c r="T124">
        <v>4</v>
      </c>
      <c r="U124">
        <v>0</v>
      </c>
      <c r="V124">
        <v>8.83</v>
      </c>
      <c r="Y124">
        <v>0</v>
      </c>
    </row>
    <row r="125" spans="1:25" x14ac:dyDescent="0.3">
      <c r="A125" s="30"/>
      <c r="B125" s="30"/>
      <c r="C125" s="1" t="s">
        <v>40</v>
      </c>
      <c r="D125" s="1" t="s">
        <v>34</v>
      </c>
      <c r="E125">
        <v>9.9499999999999993</v>
      </c>
      <c r="F125">
        <v>28111.9</v>
      </c>
      <c r="G125">
        <v>162</v>
      </c>
      <c r="H125">
        <v>9.3000000000000007</v>
      </c>
      <c r="I125">
        <v>0.65</v>
      </c>
      <c r="J125">
        <v>0</v>
      </c>
      <c r="K125">
        <v>0</v>
      </c>
      <c r="L125">
        <v>0</v>
      </c>
      <c r="M125">
        <v>9.3000000000000007</v>
      </c>
      <c r="N125">
        <v>9.3000000000000007</v>
      </c>
      <c r="O125">
        <v>0</v>
      </c>
      <c r="P125">
        <v>0</v>
      </c>
      <c r="Q125">
        <v>0</v>
      </c>
      <c r="R125">
        <v>0.65</v>
      </c>
      <c r="S125">
        <v>12.8</v>
      </c>
      <c r="T125">
        <v>4</v>
      </c>
      <c r="U125">
        <v>4349.5</v>
      </c>
      <c r="V125">
        <v>8.6750000000000007</v>
      </c>
      <c r="W125">
        <v>13.28</v>
      </c>
      <c r="X125">
        <v>12.66</v>
      </c>
      <c r="Y125">
        <v>97.6</v>
      </c>
    </row>
    <row r="126" spans="1:25" x14ac:dyDescent="0.3">
      <c r="A126" s="30"/>
      <c r="B126" s="30"/>
      <c r="C126" s="1" t="s">
        <v>28</v>
      </c>
      <c r="D126" s="1" t="s">
        <v>34</v>
      </c>
      <c r="E126">
        <v>0.95</v>
      </c>
      <c r="F126">
        <v>28111.9</v>
      </c>
      <c r="G126">
        <v>14</v>
      </c>
      <c r="H126">
        <v>0.75</v>
      </c>
      <c r="I126">
        <v>0.2</v>
      </c>
      <c r="J126">
        <v>0.05</v>
      </c>
      <c r="K126">
        <v>0</v>
      </c>
      <c r="L126">
        <v>0</v>
      </c>
      <c r="M126">
        <v>0.74</v>
      </c>
      <c r="N126">
        <v>0.74</v>
      </c>
      <c r="O126">
        <v>0</v>
      </c>
      <c r="P126">
        <v>0</v>
      </c>
      <c r="Q126">
        <v>0</v>
      </c>
      <c r="R126">
        <v>0.23</v>
      </c>
      <c r="S126">
        <v>2.4</v>
      </c>
      <c r="T126">
        <v>3</v>
      </c>
      <c r="U126">
        <v>1725.14</v>
      </c>
      <c r="V126">
        <v>8.6750000000000007</v>
      </c>
      <c r="W126">
        <v>5.83</v>
      </c>
      <c r="X126">
        <v>5.83</v>
      </c>
      <c r="Y126">
        <v>0</v>
      </c>
    </row>
    <row r="127" spans="1:25" x14ac:dyDescent="0.3">
      <c r="A127" s="30"/>
      <c r="B127" s="30"/>
      <c r="C127" s="1" t="s">
        <v>42</v>
      </c>
      <c r="D127" s="1" t="s">
        <v>34</v>
      </c>
      <c r="E127">
        <v>0.7</v>
      </c>
      <c r="F127">
        <v>28111.9</v>
      </c>
      <c r="G127">
        <v>7</v>
      </c>
      <c r="H127">
        <v>0.55000000000000004</v>
      </c>
      <c r="I127">
        <v>0.1</v>
      </c>
      <c r="J127">
        <v>0.05</v>
      </c>
      <c r="K127">
        <v>0</v>
      </c>
      <c r="L127">
        <v>0</v>
      </c>
      <c r="M127">
        <v>0.56000000000000005</v>
      </c>
      <c r="N127">
        <v>0.56000000000000005</v>
      </c>
      <c r="O127">
        <v>0</v>
      </c>
      <c r="P127">
        <v>0</v>
      </c>
      <c r="Q127">
        <v>0</v>
      </c>
      <c r="R127">
        <v>0.14000000000000001</v>
      </c>
      <c r="S127">
        <v>0.8</v>
      </c>
      <c r="T127">
        <v>4</v>
      </c>
      <c r="U127">
        <v>2476.3000000000002</v>
      </c>
      <c r="V127">
        <v>8.83</v>
      </c>
      <c r="W127">
        <v>8.75</v>
      </c>
      <c r="X127">
        <v>8.75</v>
      </c>
      <c r="Y127">
        <v>0</v>
      </c>
    </row>
    <row r="128" spans="1:25" x14ac:dyDescent="0.3">
      <c r="A128" s="30"/>
      <c r="B128" s="30"/>
      <c r="C128" s="1" t="s">
        <v>51</v>
      </c>
      <c r="D128" s="1" t="s">
        <v>34</v>
      </c>
      <c r="E128">
        <v>1</v>
      </c>
      <c r="F128">
        <v>28111.9</v>
      </c>
      <c r="G128">
        <v>0</v>
      </c>
      <c r="H128">
        <v>0</v>
      </c>
      <c r="I128">
        <v>0.65</v>
      </c>
      <c r="J128">
        <v>0.35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1.02</v>
      </c>
      <c r="S128">
        <v>0</v>
      </c>
      <c r="T128">
        <v>4</v>
      </c>
      <c r="U128">
        <v>0</v>
      </c>
      <c r="V128">
        <v>8.83</v>
      </c>
      <c r="Y128">
        <v>0</v>
      </c>
    </row>
    <row r="129" spans="1:25" x14ac:dyDescent="0.3">
      <c r="A129" s="30"/>
      <c r="B129" s="2">
        <v>45022</v>
      </c>
      <c r="C129" s="1" t="s">
        <v>38</v>
      </c>
      <c r="D129" s="1" t="s">
        <v>34</v>
      </c>
      <c r="E129">
        <v>16.05</v>
      </c>
      <c r="F129">
        <v>28111.9</v>
      </c>
      <c r="G129">
        <v>277</v>
      </c>
      <c r="H129">
        <v>14.7</v>
      </c>
      <c r="I129">
        <v>1.35</v>
      </c>
      <c r="J129">
        <v>0</v>
      </c>
      <c r="K129">
        <v>0</v>
      </c>
      <c r="L129">
        <v>0</v>
      </c>
      <c r="M129">
        <v>16.059999999999999</v>
      </c>
      <c r="N129">
        <v>14.71</v>
      </c>
      <c r="O129">
        <v>0</v>
      </c>
      <c r="P129">
        <v>0</v>
      </c>
      <c r="Q129">
        <v>0</v>
      </c>
      <c r="R129">
        <v>0</v>
      </c>
      <c r="S129">
        <v>23.3</v>
      </c>
      <c r="T129">
        <v>5</v>
      </c>
      <c r="U129">
        <v>3727.29</v>
      </c>
      <c r="V129">
        <v>8.83</v>
      </c>
      <c r="W129">
        <v>11.76</v>
      </c>
      <c r="X129">
        <v>11.89</v>
      </c>
      <c r="Y129">
        <v>90.06</v>
      </c>
    </row>
    <row r="130" spans="1:25" x14ac:dyDescent="0.3">
      <c r="A130" s="30"/>
      <c r="B130" s="2">
        <v>45023</v>
      </c>
      <c r="C130" s="1" t="s">
        <v>38</v>
      </c>
      <c r="D130" s="1" t="s">
        <v>34</v>
      </c>
      <c r="E130">
        <v>15.95</v>
      </c>
      <c r="F130">
        <v>28111.9</v>
      </c>
      <c r="G130">
        <v>289</v>
      </c>
      <c r="H130">
        <v>14.5</v>
      </c>
      <c r="I130">
        <v>1.45</v>
      </c>
      <c r="J130">
        <v>0</v>
      </c>
      <c r="K130">
        <v>0</v>
      </c>
      <c r="L130">
        <v>0</v>
      </c>
      <c r="M130">
        <v>15.97</v>
      </c>
      <c r="N130">
        <v>14.5</v>
      </c>
      <c r="O130">
        <v>0</v>
      </c>
      <c r="P130">
        <v>0</v>
      </c>
      <c r="Q130">
        <v>0</v>
      </c>
      <c r="R130">
        <v>0</v>
      </c>
      <c r="S130">
        <v>24</v>
      </c>
      <c r="T130">
        <v>4</v>
      </c>
      <c r="U130">
        <v>3549.81</v>
      </c>
      <c r="V130">
        <v>8.83</v>
      </c>
      <c r="W130">
        <v>11.96</v>
      </c>
      <c r="X130">
        <v>12.04</v>
      </c>
      <c r="Y130">
        <v>92.97</v>
      </c>
    </row>
    <row r="131" spans="1:25" x14ac:dyDescent="0.3">
      <c r="A131" s="30"/>
      <c r="B131" s="2">
        <v>45024</v>
      </c>
      <c r="C131" s="1" t="s">
        <v>38</v>
      </c>
      <c r="D131" s="1" t="s">
        <v>34</v>
      </c>
      <c r="E131">
        <v>16.600000000000001</v>
      </c>
      <c r="F131">
        <v>28111.9</v>
      </c>
      <c r="G131">
        <v>300</v>
      </c>
      <c r="H131">
        <v>15.05</v>
      </c>
      <c r="I131">
        <v>1.55</v>
      </c>
      <c r="J131">
        <v>0</v>
      </c>
      <c r="K131">
        <v>0</v>
      </c>
      <c r="L131">
        <v>0</v>
      </c>
      <c r="M131">
        <v>16.600000000000001</v>
      </c>
      <c r="N131">
        <v>15.04</v>
      </c>
      <c r="O131">
        <v>0</v>
      </c>
      <c r="P131">
        <v>0</v>
      </c>
      <c r="Q131">
        <v>0</v>
      </c>
      <c r="R131">
        <v>0</v>
      </c>
      <c r="S131">
        <v>25</v>
      </c>
      <c r="T131">
        <v>5</v>
      </c>
      <c r="U131">
        <v>3533.04</v>
      </c>
      <c r="V131">
        <v>8.83</v>
      </c>
      <c r="W131">
        <v>11.88</v>
      </c>
      <c r="X131">
        <v>12</v>
      </c>
      <c r="Y131">
        <v>91.19</v>
      </c>
    </row>
    <row r="132" spans="1:25" x14ac:dyDescent="0.3">
      <c r="A132" s="30"/>
      <c r="B132" s="2">
        <v>45025</v>
      </c>
      <c r="C132" s="1" t="s">
        <v>38</v>
      </c>
      <c r="D132" s="1" t="s">
        <v>34</v>
      </c>
      <c r="E132">
        <v>16</v>
      </c>
      <c r="F132">
        <v>28111.9</v>
      </c>
      <c r="G132">
        <v>290</v>
      </c>
      <c r="H132">
        <v>14.5</v>
      </c>
      <c r="I132">
        <v>1.5</v>
      </c>
      <c r="J132">
        <v>0</v>
      </c>
      <c r="K132">
        <v>0</v>
      </c>
      <c r="L132">
        <v>0</v>
      </c>
      <c r="M132">
        <v>15.98</v>
      </c>
      <c r="N132">
        <v>14.5</v>
      </c>
      <c r="O132">
        <v>0</v>
      </c>
      <c r="P132">
        <v>0</v>
      </c>
      <c r="Q132">
        <v>0</v>
      </c>
      <c r="R132">
        <v>0</v>
      </c>
      <c r="S132">
        <v>24</v>
      </c>
      <c r="T132">
        <v>4</v>
      </c>
      <c r="U132">
        <v>3391.91</v>
      </c>
      <c r="V132">
        <v>8.83</v>
      </c>
      <c r="W132">
        <v>11.63</v>
      </c>
      <c r="X132">
        <v>12.08</v>
      </c>
      <c r="Y132">
        <v>89.72</v>
      </c>
    </row>
    <row r="133" spans="1:25" x14ac:dyDescent="0.3">
      <c r="A133" s="30"/>
      <c r="B133" s="2">
        <v>45026</v>
      </c>
      <c r="C133" s="1" t="s">
        <v>38</v>
      </c>
      <c r="D133" s="1" t="s">
        <v>34</v>
      </c>
      <c r="E133">
        <v>16.600000000000001</v>
      </c>
      <c r="F133">
        <v>28111.9</v>
      </c>
      <c r="G133">
        <v>302</v>
      </c>
      <c r="H133">
        <v>15.1</v>
      </c>
      <c r="I133">
        <v>1.5</v>
      </c>
      <c r="J133">
        <v>0</v>
      </c>
      <c r="K133">
        <v>0</v>
      </c>
      <c r="L133">
        <v>0</v>
      </c>
      <c r="M133">
        <v>16.579999999999998</v>
      </c>
      <c r="N133">
        <v>15.08</v>
      </c>
      <c r="O133">
        <v>0</v>
      </c>
      <c r="P133">
        <v>0</v>
      </c>
      <c r="Q133">
        <v>0</v>
      </c>
      <c r="R133">
        <v>0</v>
      </c>
      <c r="S133">
        <v>25</v>
      </c>
      <c r="T133">
        <v>4</v>
      </c>
      <c r="U133">
        <v>3543.49</v>
      </c>
      <c r="V133">
        <v>8.83</v>
      </c>
      <c r="W133">
        <v>11.96</v>
      </c>
      <c r="X133">
        <v>12.08</v>
      </c>
      <c r="Y133">
        <v>88.76</v>
      </c>
    </row>
    <row r="134" spans="1:25" x14ac:dyDescent="0.3">
      <c r="A134" s="30"/>
      <c r="B134" s="2">
        <v>45027</v>
      </c>
      <c r="C134" s="1" t="s">
        <v>38</v>
      </c>
      <c r="D134" s="1" t="s">
        <v>34</v>
      </c>
      <c r="E134">
        <v>15.95</v>
      </c>
      <c r="F134">
        <v>28111.9</v>
      </c>
      <c r="G134">
        <v>292</v>
      </c>
      <c r="H134">
        <v>14.5</v>
      </c>
      <c r="I134">
        <v>1.45</v>
      </c>
      <c r="J134">
        <v>0</v>
      </c>
      <c r="K134">
        <v>0</v>
      </c>
      <c r="L134">
        <v>0</v>
      </c>
      <c r="M134">
        <v>15.96</v>
      </c>
      <c r="N134">
        <v>14.49</v>
      </c>
      <c r="O134">
        <v>0</v>
      </c>
      <c r="P134">
        <v>0</v>
      </c>
      <c r="Q134">
        <v>0</v>
      </c>
      <c r="R134">
        <v>0</v>
      </c>
      <c r="S134">
        <v>24</v>
      </c>
      <c r="T134">
        <v>4</v>
      </c>
      <c r="U134">
        <v>3547.08</v>
      </c>
      <c r="V134">
        <v>8.83</v>
      </c>
      <c r="W134">
        <v>11.96</v>
      </c>
      <c r="X134">
        <v>12.17</v>
      </c>
      <c r="Y134">
        <v>90.33</v>
      </c>
    </row>
    <row r="135" spans="1:25" x14ac:dyDescent="0.3">
      <c r="A135" s="30"/>
      <c r="B135" s="2">
        <v>45028</v>
      </c>
      <c r="C135" s="1" t="s">
        <v>38</v>
      </c>
      <c r="D135" s="1" t="s">
        <v>34</v>
      </c>
      <c r="E135">
        <v>16.649999999999999</v>
      </c>
      <c r="F135">
        <v>28111.9</v>
      </c>
      <c r="G135">
        <v>308</v>
      </c>
      <c r="H135">
        <v>15.1</v>
      </c>
      <c r="I135">
        <v>1.5</v>
      </c>
      <c r="J135">
        <v>0</v>
      </c>
      <c r="K135">
        <v>0</v>
      </c>
      <c r="L135">
        <v>0</v>
      </c>
      <c r="M135">
        <v>16.64</v>
      </c>
      <c r="N135">
        <v>15.12</v>
      </c>
      <c r="O135">
        <v>0</v>
      </c>
      <c r="P135">
        <v>0</v>
      </c>
      <c r="Q135">
        <v>0</v>
      </c>
      <c r="R135">
        <v>0</v>
      </c>
      <c r="S135">
        <v>25</v>
      </c>
      <c r="T135">
        <v>4</v>
      </c>
      <c r="U135">
        <v>3553.94</v>
      </c>
      <c r="V135">
        <v>8.83</v>
      </c>
      <c r="W135">
        <v>12.12</v>
      </c>
      <c r="X135">
        <v>12.32</v>
      </c>
      <c r="Y135">
        <v>90.71</v>
      </c>
    </row>
    <row r="136" spans="1:25" x14ac:dyDescent="0.3">
      <c r="A136" s="30"/>
      <c r="B136" s="2">
        <v>45029</v>
      </c>
      <c r="C136" s="1" t="s">
        <v>38</v>
      </c>
      <c r="D136" s="1" t="s">
        <v>34</v>
      </c>
      <c r="E136">
        <v>16</v>
      </c>
      <c r="F136">
        <v>28111.9</v>
      </c>
      <c r="G136">
        <v>272</v>
      </c>
      <c r="H136">
        <v>14.55</v>
      </c>
      <c r="I136">
        <v>1.45</v>
      </c>
      <c r="J136">
        <v>0</v>
      </c>
      <c r="K136">
        <v>0</v>
      </c>
      <c r="L136">
        <v>0</v>
      </c>
      <c r="M136">
        <v>15.98</v>
      </c>
      <c r="N136">
        <v>14.53</v>
      </c>
      <c r="O136">
        <v>0</v>
      </c>
      <c r="P136">
        <v>0</v>
      </c>
      <c r="Q136">
        <v>0</v>
      </c>
      <c r="R136">
        <v>0</v>
      </c>
      <c r="S136">
        <v>24</v>
      </c>
      <c r="T136">
        <v>4</v>
      </c>
      <c r="U136">
        <v>3557.97</v>
      </c>
      <c r="V136">
        <v>8.83</v>
      </c>
      <c r="W136">
        <v>11.5</v>
      </c>
      <c r="X136">
        <v>11.33</v>
      </c>
      <c r="Y136">
        <v>89.12</v>
      </c>
    </row>
    <row r="137" spans="1:25" x14ac:dyDescent="0.3">
      <c r="A137" s="30"/>
      <c r="B137" s="2">
        <v>45030</v>
      </c>
      <c r="C137" s="1" t="s">
        <v>45</v>
      </c>
      <c r="D137" s="1" t="s">
        <v>34</v>
      </c>
      <c r="E137">
        <v>17.100000000000001</v>
      </c>
      <c r="F137">
        <v>28111.9</v>
      </c>
      <c r="G137">
        <v>291</v>
      </c>
      <c r="H137">
        <v>15.6</v>
      </c>
      <c r="I137">
        <v>1.55</v>
      </c>
      <c r="J137">
        <v>0</v>
      </c>
      <c r="K137">
        <v>0</v>
      </c>
      <c r="L137">
        <v>0</v>
      </c>
      <c r="M137">
        <v>17.12</v>
      </c>
      <c r="N137">
        <v>15.58</v>
      </c>
      <c r="O137">
        <v>0</v>
      </c>
      <c r="P137">
        <v>0</v>
      </c>
      <c r="Q137">
        <v>0</v>
      </c>
      <c r="R137">
        <v>0</v>
      </c>
      <c r="S137">
        <v>25</v>
      </c>
      <c r="T137">
        <v>4</v>
      </c>
      <c r="U137">
        <v>3674.16</v>
      </c>
      <c r="V137">
        <v>8.83</v>
      </c>
      <c r="W137">
        <v>11.56</v>
      </c>
      <c r="X137">
        <v>11.64</v>
      </c>
      <c r="Y137">
        <v>88.73</v>
      </c>
    </row>
    <row r="138" spans="1:25" x14ac:dyDescent="0.3">
      <c r="A138" s="30"/>
      <c r="B138" s="2">
        <v>45031</v>
      </c>
      <c r="C138" s="1" t="s">
        <v>38</v>
      </c>
      <c r="D138" s="1" t="s">
        <v>34</v>
      </c>
      <c r="E138">
        <v>16</v>
      </c>
      <c r="F138">
        <v>28111.9</v>
      </c>
      <c r="G138">
        <v>289</v>
      </c>
      <c r="H138">
        <v>14.5</v>
      </c>
      <c r="I138">
        <v>1.5</v>
      </c>
      <c r="J138">
        <v>0</v>
      </c>
      <c r="K138">
        <v>0</v>
      </c>
      <c r="L138">
        <v>0</v>
      </c>
      <c r="M138">
        <v>15.99</v>
      </c>
      <c r="N138">
        <v>14.5</v>
      </c>
      <c r="O138">
        <v>0</v>
      </c>
      <c r="P138">
        <v>0</v>
      </c>
      <c r="Q138">
        <v>0</v>
      </c>
      <c r="R138">
        <v>0</v>
      </c>
      <c r="S138">
        <v>24</v>
      </c>
      <c r="T138">
        <v>3</v>
      </c>
      <c r="U138">
        <v>3549.81</v>
      </c>
      <c r="V138">
        <v>8.83</v>
      </c>
      <c r="W138">
        <v>11.92</v>
      </c>
      <c r="X138">
        <v>12.04</v>
      </c>
      <c r="Y138">
        <v>90.26</v>
      </c>
    </row>
    <row r="139" spans="1:25" x14ac:dyDescent="0.3">
      <c r="A139" s="30"/>
      <c r="B139" s="2">
        <v>45032</v>
      </c>
      <c r="C139" s="1" t="s">
        <v>38</v>
      </c>
      <c r="D139" s="1" t="s">
        <v>34</v>
      </c>
      <c r="E139">
        <v>16.649999999999999</v>
      </c>
      <c r="F139">
        <v>28111.9</v>
      </c>
      <c r="G139">
        <v>310</v>
      </c>
      <c r="H139">
        <v>15.1</v>
      </c>
      <c r="I139">
        <v>1.55</v>
      </c>
      <c r="J139">
        <v>0</v>
      </c>
      <c r="K139">
        <v>0</v>
      </c>
      <c r="L139">
        <v>0</v>
      </c>
      <c r="M139">
        <v>16.649999999999999</v>
      </c>
      <c r="N139">
        <v>15.1</v>
      </c>
      <c r="O139">
        <v>0</v>
      </c>
      <c r="P139">
        <v>0</v>
      </c>
      <c r="Q139">
        <v>0</v>
      </c>
      <c r="R139">
        <v>0</v>
      </c>
      <c r="S139">
        <v>25</v>
      </c>
      <c r="T139">
        <v>3</v>
      </c>
      <c r="U139">
        <v>3548.72</v>
      </c>
      <c r="V139">
        <v>8.83</v>
      </c>
      <c r="W139">
        <v>12.16</v>
      </c>
      <c r="X139">
        <v>12.4</v>
      </c>
      <c r="Y139">
        <v>89.28</v>
      </c>
    </row>
    <row r="140" spans="1:25" x14ac:dyDescent="0.3">
      <c r="A140" s="30"/>
      <c r="B140" s="2">
        <v>45033</v>
      </c>
      <c r="C140" s="1" t="s">
        <v>38</v>
      </c>
      <c r="D140" s="1" t="s">
        <v>34</v>
      </c>
      <c r="E140">
        <v>16.100000000000001</v>
      </c>
      <c r="F140">
        <v>28111.9</v>
      </c>
      <c r="G140">
        <v>288</v>
      </c>
      <c r="H140">
        <v>14.6</v>
      </c>
      <c r="I140">
        <v>1.5</v>
      </c>
      <c r="J140">
        <v>0</v>
      </c>
      <c r="K140">
        <v>0</v>
      </c>
      <c r="L140">
        <v>0</v>
      </c>
      <c r="M140">
        <v>16.11</v>
      </c>
      <c r="N140">
        <v>14.62</v>
      </c>
      <c r="O140">
        <v>0</v>
      </c>
      <c r="P140">
        <v>0</v>
      </c>
      <c r="Q140">
        <v>0</v>
      </c>
      <c r="R140">
        <v>0</v>
      </c>
      <c r="S140">
        <v>24</v>
      </c>
      <c r="T140">
        <v>4</v>
      </c>
      <c r="U140">
        <v>3582.47</v>
      </c>
      <c r="V140">
        <v>8.83</v>
      </c>
      <c r="W140">
        <v>12</v>
      </c>
      <c r="X140">
        <v>12</v>
      </c>
      <c r="Y140">
        <v>88.83</v>
      </c>
    </row>
    <row r="141" spans="1:25" x14ac:dyDescent="0.3">
      <c r="A141" s="30"/>
      <c r="B141" s="2">
        <v>45034</v>
      </c>
      <c r="C141" s="1" t="s">
        <v>38</v>
      </c>
      <c r="D141" s="1" t="s">
        <v>34</v>
      </c>
      <c r="E141">
        <v>16.95</v>
      </c>
      <c r="F141">
        <v>28111.9</v>
      </c>
      <c r="G141">
        <v>299</v>
      </c>
      <c r="H141">
        <v>15.4</v>
      </c>
      <c r="I141">
        <v>1.6</v>
      </c>
      <c r="J141">
        <v>0</v>
      </c>
      <c r="K141">
        <v>0</v>
      </c>
      <c r="L141">
        <v>0</v>
      </c>
      <c r="M141">
        <v>16.97</v>
      </c>
      <c r="N141">
        <v>15.39</v>
      </c>
      <c r="O141">
        <v>0</v>
      </c>
      <c r="P141">
        <v>0</v>
      </c>
      <c r="Q141">
        <v>0</v>
      </c>
      <c r="R141">
        <v>0</v>
      </c>
      <c r="S141">
        <v>25</v>
      </c>
      <c r="T141">
        <v>4</v>
      </c>
      <c r="U141">
        <v>3624.51</v>
      </c>
      <c r="V141">
        <v>8.83</v>
      </c>
      <c r="W141">
        <v>11.8</v>
      </c>
      <c r="X141">
        <v>11.96</v>
      </c>
      <c r="Y141">
        <v>89.07</v>
      </c>
    </row>
    <row r="142" spans="1:25" x14ac:dyDescent="0.3">
      <c r="A142" s="30"/>
      <c r="B142" s="2">
        <v>45035</v>
      </c>
      <c r="C142" s="1" t="s">
        <v>38</v>
      </c>
      <c r="D142" s="1" t="s">
        <v>34</v>
      </c>
      <c r="E142">
        <v>16.25</v>
      </c>
      <c r="F142">
        <v>28111.9</v>
      </c>
      <c r="G142">
        <v>265</v>
      </c>
      <c r="H142">
        <v>14.75</v>
      </c>
      <c r="I142">
        <v>1.5</v>
      </c>
      <c r="J142">
        <v>0</v>
      </c>
      <c r="K142">
        <v>0</v>
      </c>
      <c r="L142">
        <v>0</v>
      </c>
      <c r="M142">
        <v>16.260000000000002</v>
      </c>
      <c r="N142">
        <v>14.74</v>
      </c>
      <c r="O142">
        <v>0</v>
      </c>
      <c r="P142">
        <v>0</v>
      </c>
      <c r="Q142">
        <v>0</v>
      </c>
      <c r="R142">
        <v>0</v>
      </c>
      <c r="S142">
        <v>24</v>
      </c>
      <c r="T142">
        <v>4</v>
      </c>
      <c r="U142">
        <v>3615.14</v>
      </c>
      <c r="V142">
        <v>8.8000000000000007</v>
      </c>
      <c r="W142">
        <v>12.08</v>
      </c>
      <c r="X142">
        <v>11.04</v>
      </c>
      <c r="Y142">
        <v>89.6</v>
      </c>
    </row>
    <row r="143" spans="1:25" x14ac:dyDescent="0.3">
      <c r="A143" s="30"/>
      <c r="B143" s="2">
        <v>45036</v>
      </c>
      <c r="C143" s="1" t="s">
        <v>38</v>
      </c>
      <c r="D143" s="1" t="s">
        <v>34</v>
      </c>
      <c r="E143">
        <v>16.399999999999999</v>
      </c>
      <c r="F143">
        <v>28111.9</v>
      </c>
      <c r="G143">
        <v>274</v>
      </c>
      <c r="H143">
        <v>14.8</v>
      </c>
      <c r="I143">
        <v>1.6</v>
      </c>
      <c r="J143">
        <v>0</v>
      </c>
      <c r="K143">
        <v>0</v>
      </c>
      <c r="L143">
        <v>0</v>
      </c>
      <c r="M143">
        <v>16.41</v>
      </c>
      <c r="N143">
        <v>14.8</v>
      </c>
      <c r="O143">
        <v>0</v>
      </c>
      <c r="P143">
        <v>0</v>
      </c>
      <c r="Q143">
        <v>0</v>
      </c>
      <c r="R143">
        <v>0</v>
      </c>
      <c r="S143">
        <v>25</v>
      </c>
      <c r="T143">
        <v>4</v>
      </c>
      <c r="U143">
        <v>3470.31</v>
      </c>
      <c r="V143">
        <v>8.8000000000000007</v>
      </c>
      <c r="W143">
        <v>12.08</v>
      </c>
      <c r="X143">
        <v>10.96</v>
      </c>
      <c r="Y143">
        <v>88.15</v>
      </c>
    </row>
    <row r="144" spans="1:25" x14ac:dyDescent="0.3">
      <c r="A144" s="30"/>
      <c r="B144" s="29">
        <v>45037</v>
      </c>
      <c r="C144" s="1" t="s">
        <v>54</v>
      </c>
      <c r="D144" s="1" t="s">
        <v>34</v>
      </c>
      <c r="E144">
        <v>12.3</v>
      </c>
      <c r="F144">
        <v>28111.9</v>
      </c>
      <c r="G144">
        <v>230</v>
      </c>
      <c r="H144">
        <v>11.15</v>
      </c>
      <c r="I144">
        <v>1.1499999999999999</v>
      </c>
      <c r="J144">
        <v>0</v>
      </c>
      <c r="K144">
        <v>0</v>
      </c>
      <c r="L144">
        <v>0</v>
      </c>
      <c r="M144">
        <v>12.32</v>
      </c>
      <c r="N144">
        <v>11.15</v>
      </c>
      <c r="O144">
        <v>0</v>
      </c>
      <c r="P144">
        <v>0</v>
      </c>
      <c r="Q144">
        <v>0</v>
      </c>
      <c r="R144">
        <v>0</v>
      </c>
      <c r="S144">
        <v>18.2</v>
      </c>
      <c r="T144">
        <v>3</v>
      </c>
      <c r="U144">
        <v>3605.15</v>
      </c>
      <c r="V144">
        <v>8.8000000000000007</v>
      </c>
      <c r="W144">
        <v>12.03</v>
      </c>
      <c r="X144">
        <v>12.64</v>
      </c>
      <c r="Y144">
        <v>90.81</v>
      </c>
    </row>
    <row r="145" spans="1:25" x14ac:dyDescent="0.3">
      <c r="A145" s="30"/>
      <c r="B145" s="30"/>
      <c r="C145" s="1" t="s">
        <v>47</v>
      </c>
      <c r="D145" s="1" t="s">
        <v>34</v>
      </c>
      <c r="E145">
        <v>0.9</v>
      </c>
      <c r="F145">
        <v>28111.9</v>
      </c>
      <c r="G145">
        <v>7</v>
      </c>
      <c r="H145">
        <v>0.2</v>
      </c>
      <c r="I145">
        <v>0.4</v>
      </c>
      <c r="J145">
        <v>0.25</v>
      </c>
      <c r="K145">
        <v>0</v>
      </c>
      <c r="L145">
        <v>0</v>
      </c>
      <c r="M145">
        <v>0.88</v>
      </c>
      <c r="N145">
        <v>0.2</v>
      </c>
      <c r="O145">
        <v>0</v>
      </c>
      <c r="P145">
        <v>0</v>
      </c>
      <c r="Q145">
        <v>0</v>
      </c>
      <c r="R145">
        <v>0</v>
      </c>
      <c r="S145">
        <v>1.4</v>
      </c>
      <c r="T145">
        <v>3</v>
      </c>
      <c r="U145">
        <v>0</v>
      </c>
      <c r="V145">
        <v>8.8000000000000007</v>
      </c>
      <c r="W145">
        <v>5</v>
      </c>
      <c r="X145">
        <v>5</v>
      </c>
      <c r="Y145">
        <v>0</v>
      </c>
    </row>
    <row r="146" spans="1:25" x14ac:dyDescent="0.3">
      <c r="A146" s="30"/>
      <c r="B146" s="2">
        <v>45038</v>
      </c>
      <c r="C146" s="1" t="s">
        <v>55</v>
      </c>
      <c r="D146" s="1" t="s">
        <v>34</v>
      </c>
      <c r="E146">
        <v>2.2999999999999998</v>
      </c>
      <c r="F146">
        <v>28111.9</v>
      </c>
      <c r="G146">
        <v>0</v>
      </c>
      <c r="H146">
        <v>0</v>
      </c>
      <c r="I146">
        <v>1.5</v>
      </c>
      <c r="J146">
        <v>0.85</v>
      </c>
      <c r="K146">
        <v>0</v>
      </c>
      <c r="L146">
        <v>0</v>
      </c>
      <c r="M146">
        <v>2.3199999999999998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3</v>
      </c>
      <c r="U146">
        <v>0</v>
      </c>
      <c r="V146">
        <v>8.8000000000000007</v>
      </c>
      <c r="X146">
        <v>0</v>
      </c>
      <c r="Y146">
        <v>0</v>
      </c>
    </row>
    <row r="147" spans="1:25" x14ac:dyDescent="0.3">
      <c r="A147" s="30"/>
      <c r="B147" s="2">
        <v>45039</v>
      </c>
      <c r="C147" s="1" t="s">
        <v>27</v>
      </c>
      <c r="D147" s="1" t="s">
        <v>34</v>
      </c>
      <c r="E147">
        <v>2.25</v>
      </c>
      <c r="F147">
        <v>28111.9</v>
      </c>
      <c r="G147">
        <v>0</v>
      </c>
      <c r="H147">
        <v>0</v>
      </c>
      <c r="I147">
        <v>1.45</v>
      </c>
      <c r="J147">
        <v>0.8</v>
      </c>
      <c r="K147">
        <v>0</v>
      </c>
      <c r="L147">
        <v>0</v>
      </c>
      <c r="M147">
        <v>2.27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3</v>
      </c>
      <c r="U147">
        <v>0</v>
      </c>
      <c r="V147">
        <v>8.8000000000000007</v>
      </c>
      <c r="X147">
        <v>0</v>
      </c>
      <c r="Y147">
        <v>0</v>
      </c>
    </row>
    <row r="148" spans="1:25" x14ac:dyDescent="0.3">
      <c r="A148" s="30"/>
      <c r="B148" s="2">
        <v>45040</v>
      </c>
      <c r="C148" s="1" t="s">
        <v>27</v>
      </c>
      <c r="D148" s="1" t="s">
        <v>34</v>
      </c>
      <c r="E148">
        <v>2.35</v>
      </c>
      <c r="F148">
        <v>28111.9</v>
      </c>
      <c r="G148">
        <v>0</v>
      </c>
      <c r="H148">
        <v>0</v>
      </c>
      <c r="I148">
        <v>1.5</v>
      </c>
      <c r="J148">
        <v>0.85</v>
      </c>
      <c r="K148">
        <v>0</v>
      </c>
      <c r="L148">
        <v>0</v>
      </c>
      <c r="M148">
        <v>2.35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</v>
      </c>
      <c r="U148">
        <v>0</v>
      </c>
      <c r="V148">
        <v>8.8000000000000007</v>
      </c>
      <c r="X148">
        <v>0</v>
      </c>
      <c r="Y148">
        <v>0</v>
      </c>
    </row>
    <row r="149" spans="1:25" x14ac:dyDescent="0.3">
      <c r="A149" s="30"/>
      <c r="B149" s="2">
        <v>45041</v>
      </c>
      <c r="C149" s="1" t="s">
        <v>27</v>
      </c>
      <c r="D149" s="1" t="s">
        <v>34</v>
      </c>
      <c r="E149">
        <v>2.4500000000000002</v>
      </c>
      <c r="F149">
        <v>28111.9</v>
      </c>
      <c r="G149">
        <v>0</v>
      </c>
      <c r="H149">
        <v>0</v>
      </c>
      <c r="I149">
        <v>1.6</v>
      </c>
      <c r="J149">
        <v>0.85</v>
      </c>
      <c r="K149">
        <v>0</v>
      </c>
      <c r="L149">
        <v>0</v>
      </c>
      <c r="M149">
        <v>2.4300000000000002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3</v>
      </c>
      <c r="U149">
        <v>0</v>
      </c>
      <c r="V149">
        <v>8.8000000000000007</v>
      </c>
      <c r="X149">
        <v>0</v>
      </c>
      <c r="Y149">
        <v>0</v>
      </c>
    </row>
    <row r="150" spans="1:25" x14ac:dyDescent="0.3">
      <c r="A150" s="30"/>
      <c r="B150" s="2">
        <v>45042</v>
      </c>
      <c r="C150" s="1" t="s">
        <v>27</v>
      </c>
      <c r="D150" s="1" t="s">
        <v>34</v>
      </c>
      <c r="E150">
        <v>2.4500000000000002</v>
      </c>
      <c r="F150">
        <v>28111.9</v>
      </c>
      <c r="G150">
        <v>0</v>
      </c>
      <c r="H150">
        <v>0</v>
      </c>
      <c r="I150">
        <v>1.65</v>
      </c>
      <c r="J150">
        <v>0.8</v>
      </c>
      <c r="K150">
        <v>0</v>
      </c>
      <c r="L150">
        <v>0</v>
      </c>
      <c r="M150">
        <v>2.44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3</v>
      </c>
      <c r="U150">
        <v>0</v>
      </c>
      <c r="V150">
        <v>8.8000000000000007</v>
      </c>
      <c r="X150">
        <v>0</v>
      </c>
      <c r="Y150">
        <v>0</v>
      </c>
    </row>
    <row r="151" spans="1:25" x14ac:dyDescent="0.3">
      <c r="A151" s="30"/>
      <c r="B151" s="2">
        <v>45043</v>
      </c>
      <c r="C151" s="1" t="s">
        <v>27</v>
      </c>
      <c r="D151" s="1" t="s">
        <v>34</v>
      </c>
      <c r="E151">
        <v>2.4</v>
      </c>
      <c r="F151">
        <v>28111.9</v>
      </c>
      <c r="G151">
        <v>0</v>
      </c>
      <c r="H151">
        <v>0</v>
      </c>
      <c r="I151">
        <v>1.55</v>
      </c>
      <c r="J151">
        <v>0.8</v>
      </c>
      <c r="K151">
        <v>0</v>
      </c>
      <c r="L151">
        <v>0</v>
      </c>
      <c r="M151">
        <v>2.39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3</v>
      </c>
      <c r="U151">
        <v>0</v>
      </c>
      <c r="V151">
        <v>8.8000000000000007</v>
      </c>
      <c r="X151">
        <v>0</v>
      </c>
      <c r="Y151">
        <v>0</v>
      </c>
    </row>
    <row r="152" spans="1:25" x14ac:dyDescent="0.3">
      <c r="A152" s="30"/>
      <c r="B152" s="2">
        <v>45044</v>
      </c>
      <c r="C152" s="1" t="s">
        <v>27</v>
      </c>
      <c r="D152" s="1" t="s">
        <v>34</v>
      </c>
      <c r="E152">
        <v>2.35</v>
      </c>
      <c r="F152">
        <v>28111.9</v>
      </c>
      <c r="G152">
        <v>0</v>
      </c>
      <c r="H152">
        <v>0</v>
      </c>
      <c r="I152">
        <v>1.55</v>
      </c>
      <c r="J152">
        <v>0.8</v>
      </c>
      <c r="K152">
        <v>0</v>
      </c>
      <c r="L152">
        <v>0</v>
      </c>
      <c r="M152">
        <v>2.35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</v>
      </c>
      <c r="U152">
        <v>0</v>
      </c>
      <c r="V152">
        <v>8.8000000000000007</v>
      </c>
      <c r="W152">
        <v>0</v>
      </c>
      <c r="X152">
        <v>0</v>
      </c>
      <c r="Y152">
        <v>0</v>
      </c>
    </row>
    <row r="153" spans="1:25" x14ac:dyDescent="0.3">
      <c r="A153" s="30"/>
      <c r="B153" s="2">
        <v>45045</v>
      </c>
      <c r="C153" s="1" t="s">
        <v>27</v>
      </c>
      <c r="D153" s="1" t="s">
        <v>34</v>
      </c>
      <c r="E153">
        <v>2.35</v>
      </c>
      <c r="F153">
        <v>28111.9</v>
      </c>
      <c r="G153">
        <v>0</v>
      </c>
      <c r="H153">
        <v>0</v>
      </c>
      <c r="I153">
        <v>1.5</v>
      </c>
      <c r="J153">
        <v>0.8</v>
      </c>
      <c r="K153">
        <v>0</v>
      </c>
      <c r="L153">
        <v>0</v>
      </c>
      <c r="M153">
        <v>2.33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</v>
      </c>
      <c r="U153">
        <v>0</v>
      </c>
      <c r="V153">
        <v>8.8000000000000007</v>
      </c>
      <c r="X153">
        <v>0</v>
      </c>
      <c r="Y153">
        <v>0</v>
      </c>
    </row>
    <row r="154" spans="1:25" x14ac:dyDescent="0.3">
      <c r="A154" s="30"/>
      <c r="B154" s="2">
        <v>45046</v>
      </c>
      <c r="C154" s="1" t="s">
        <v>27</v>
      </c>
      <c r="D154" s="1" t="s">
        <v>34</v>
      </c>
      <c r="E154">
        <v>2.4</v>
      </c>
      <c r="F154">
        <v>28111.9</v>
      </c>
      <c r="G154">
        <v>0</v>
      </c>
      <c r="H154">
        <v>0</v>
      </c>
      <c r="I154">
        <v>1.55</v>
      </c>
      <c r="J154">
        <v>0.8</v>
      </c>
      <c r="K154">
        <v>0</v>
      </c>
      <c r="L154">
        <v>0</v>
      </c>
      <c r="M154">
        <v>2.39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</v>
      </c>
      <c r="U154">
        <v>0</v>
      </c>
      <c r="V154">
        <v>8.8000000000000007</v>
      </c>
      <c r="W154">
        <v>0</v>
      </c>
      <c r="X154">
        <v>0</v>
      </c>
      <c r="Y154">
        <v>0</v>
      </c>
    </row>
    <row r="155" spans="1:25" x14ac:dyDescent="0.3">
      <c r="A155" s="30"/>
      <c r="B155" s="2">
        <v>45047</v>
      </c>
      <c r="C155" s="1" t="s">
        <v>27</v>
      </c>
      <c r="D155" s="1" t="s">
        <v>34</v>
      </c>
      <c r="E155">
        <v>2.35</v>
      </c>
      <c r="F155">
        <v>28111.9</v>
      </c>
      <c r="G155">
        <v>0</v>
      </c>
      <c r="H155">
        <v>0</v>
      </c>
      <c r="I155">
        <v>1.55</v>
      </c>
      <c r="J155">
        <v>0.8</v>
      </c>
      <c r="K155">
        <v>0</v>
      </c>
      <c r="L155">
        <v>0</v>
      </c>
      <c r="M155">
        <v>2.33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</v>
      </c>
      <c r="U155">
        <v>0</v>
      </c>
      <c r="V155">
        <v>8.8000000000000007</v>
      </c>
      <c r="X155">
        <v>0</v>
      </c>
      <c r="Y155">
        <v>0</v>
      </c>
    </row>
    <row r="156" spans="1:25" x14ac:dyDescent="0.3">
      <c r="A156" s="30"/>
      <c r="B156" s="2">
        <v>45048</v>
      </c>
      <c r="C156" s="1" t="s">
        <v>27</v>
      </c>
      <c r="D156" s="1" t="s">
        <v>34</v>
      </c>
      <c r="E156">
        <v>2.35</v>
      </c>
      <c r="F156">
        <v>28111.9</v>
      </c>
      <c r="G156">
        <v>0</v>
      </c>
      <c r="H156">
        <v>0</v>
      </c>
      <c r="I156">
        <v>1.5</v>
      </c>
      <c r="J156">
        <v>0.85</v>
      </c>
      <c r="K156">
        <v>0</v>
      </c>
      <c r="L156">
        <v>0</v>
      </c>
      <c r="M156">
        <v>2.34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4</v>
      </c>
      <c r="U156">
        <v>0</v>
      </c>
      <c r="V156">
        <v>8.8000000000000007</v>
      </c>
      <c r="X156">
        <v>0</v>
      </c>
      <c r="Y156">
        <v>0</v>
      </c>
    </row>
    <row r="157" spans="1:25" x14ac:dyDescent="0.3">
      <c r="A157" s="30"/>
      <c r="B157" s="29">
        <v>45049</v>
      </c>
      <c r="C157" s="1" t="s">
        <v>29</v>
      </c>
      <c r="D157" s="1" t="s">
        <v>34</v>
      </c>
      <c r="E157">
        <v>0.05</v>
      </c>
      <c r="F157">
        <v>28111.9</v>
      </c>
      <c r="G157">
        <v>0</v>
      </c>
      <c r="H157">
        <v>0</v>
      </c>
      <c r="I157">
        <v>0.05</v>
      </c>
      <c r="J157">
        <v>0</v>
      </c>
      <c r="K157">
        <v>0</v>
      </c>
      <c r="L157">
        <v>0</v>
      </c>
      <c r="M157">
        <v>0.06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</v>
      </c>
      <c r="U157">
        <v>0</v>
      </c>
      <c r="V157">
        <v>8.8000000000000007</v>
      </c>
      <c r="W157">
        <v>0</v>
      </c>
      <c r="Y157">
        <v>0</v>
      </c>
    </row>
    <row r="158" spans="1:25" x14ac:dyDescent="0.3">
      <c r="A158" s="30"/>
      <c r="B158" s="30"/>
      <c r="C158" s="1" t="s">
        <v>28</v>
      </c>
      <c r="D158" s="1" t="s">
        <v>34</v>
      </c>
      <c r="E158">
        <v>2.75</v>
      </c>
      <c r="F158">
        <v>28111.9</v>
      </c>
      <c r="G158">
        <v>12</v>
      </c>
      <c r="H158">
        <v>0.4</v>
      </c>
      <c r="I158">
        <v>1.6</v>
      </c>
      <c r="J158">
        <v>0.75</v>
      </c>
      <c r="K158">
        <v>0</v>
      </c>
      <c r="L158">
        <v>0</v>
      </c>
      <c r="M158">
        <v>2.74</v>
      </c>
      <c r="N158">
        <v>0.4</v>
      </c>
      <c r="O158">
        <v>0</v>
      </c>
      <c r="P158">
        <v>0</v>
      </c>
      <c r="Q158">
        <v>0</v>
      </c>
      <c r="R158">
        <v>0</v>
      </c>
      <c r="S158">
        <v>2.1</v>
      </c>
      <c r="T158">
        <v>2</v>
      </c>
      <c r="U158">
        <v>0</v>
      </c>
      <c r="V158">
        <v>8.8000000000000007</v>
      </c>
      <c r="W158">
        <v>5.71</v>
      </c>
      <c r="X158">
        <v>5.71</v>
      </c>
      <c r="Y158">
        <v>0</v>
      </c>
    </row>
    <row r="159" spans="1:25" x14ac:dyDescent="0.3">
      <c r="A159" s="30"/>
      <c r="B159" s="2">
        <v>45050</v>
      </c>
      <c r="C159" s="1" t="s">
        <v>30</v>
      </c>
      <c r="D159" s="1" t="s">
        <v>34</v>
      </c>
      <c r="E159">
        <v>3.55</v>
      </c>
      <c r="F159">
        <v>24306</v>
      </c>
      <c r="G159">
        <v>0</v>
      </c>
      <c r="H159">
        <v>0</v>
      </c>
      <c r="I159">
        <v>2.75</v>
      </c>
      <c r="J159">
        <v>0.8</v>
      </c>
      <c r="K159">
        <v>0</v>
      </c>
      <c r="L159">
        <v>0</v>
      </c>
      <c r="M159">
        <v>3.56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</v>
      </c>
      <c r="U159">
        <v>0</v>
      </c>
      <c r="V159">
        <v>7.9</v>
      </c>
      <c r="W159">
        <v>0</v>
      </c>
      <c r="Y159">
        <v>0</v>
      </c>
    </row>
    <row r="160" spans="1:25" x14ac:dyDescent="0.3">
      <c r="A160" s="30"/>
      <c r="B160" s="2">
        <v>45051</v>
      </c>
      <c r="C160" s="1" t="s">
        <v>31</v>
      </c>
      <c r="D160" s="1" t="s">
        <v>34</v>
      </c>
      <c r="E160">
        <v>3.2</v>
      </c>
      <c r="F160">
        <v>21300</v>
      </c>
      <c r="G160">
        <v>0</v>
      </c>
      <c r="H160">
        <v>0</v>
      </c>
      <c r="I160">
        <v>2.4</v>
      </c>
      <c r="J160">
        <v>0.8</v>
      </c>
      <c r="K160">
        <v>0</v>
      </c>
      <c r="L160">
        <v>0</v>
      </c>
      <c r="M160">
        <v>3.2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3</v>
      </c>
      <c r="U160">
        <v>0</v>
      </c>
      <c r="V160">
        <v>8.8000000000000007</v>
      </c>
      <c r="W160">
        <v>0</v>
      </c>
      <c r="Y160">
        <v>0</v>
      </c>
    </row>
    <row r="161" spans="1:25" x14ac:dyDescent="0.3">
      <c r="A161" s="30"/>
      <c r="B161" s="2">
        <v>45052</v>
      </c>
      <c r="C161" s="1" t="s">
        <v>31</v>
      </c>
      <c r="D161" s="1" t="s">
        <v>34</v>
      </c>
      <c r="E161">
        <v>3</v>
      </c>
      <c r="F161">
        <v>19421.900000000001</v>
      </c>
      <c r="G161">
        <v>0</v>
      </c>
      <c r="H161">
        <v>0</v>
      </c>
      <c r="I161">
        <v>2.25</v>
      </c>
      <c r="J161">
        <v>0.8</v>
      </c>
      <c r="K161">
        <v>0</v>
      </c>
      <c r="L161">
        <v>0</v>
      </c>
      <c r="M161">
        <v>3.01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</v>
      </c>
      <c r="U161">
        <v>0</v>
      </c>
      <c r="V161">
        <v>6.85</v>
      </c>
      <c r="W161">
        <v>0</v>
      </c>
      <c r="Y161">
        <v>0</v>
      </c>
    </row>
    <row r="162" spans="1:25" x14ac:dyDescent="0.3">
      <c r="A162" s="30"/>
      <c r="B162" s="2">
        <v>45053</v>
      </c>
      <c r="C162" s="1" t="s">
        <v>31</v>
      </c>
      <c r="D162" s="1" t="s">
        <v>34</v>
      </c>
      <c r="E162">
        <v>3.15</v>
      </c>
      <c r="F162">
        <v>18072</v>
      </c>
      <c r="G162">
        <v>0</v>
      </c>
      <c r="H162">
        <v>0</v>
      </c>
      <c r="I162">
        <v>2.35</v>
      </c>
      <c r="J162">
        <v>0.8</v>
      </c>
      <c r="K162">
        <v>0</v>
      </c>
      <c r="L162">
        <v>0</v>
      </c>
      <c r="M162">
        <v>3.16</v>
      </c>
      <c r="N162">
        <v>0.02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</v>
      </c>
      <c r="U162">
        <v>0</v>
      </c>
      <c r="V162">
        <v>6.65</v>
      </c>
      <c r="W162">
        <v>0</v>
      </c>
      <c r="Y162">
        <v>0</v>
      </c>
    </row>
    <row r="163" spans="1:25" x14ac:dyDescent="0.3">
      <c r="A163" s="30"/>
      <c r="B163" s="2">
        <v>45054</v>
      </c>
      <c r="C163" s="1" t="s">
        <v>31</v>
      </c>
      <c r="D163" s="1" t="s">
        <v>34</v>
      </c>
      <c r="E163">
        <v>3.15</v>
      </c>
      <c r="F163">
        <v>16420</v>
      </c>
      <c r="G163">
        <v>0</v>
      </c>
      <c r="H163">
        <v>0</v>
      </c>
      <c r="I163">
        <v>2.35</v>
      </c>
      <c r="J163">
        <v>0.8</v>
      </c>
      <c r="K163">
        <v>0</v>
      </c>
      <c r="L163">
        <v>0</v>
      </c>
      <c r="M163">
        <v>3.15</v>
      </c>
      <c r="N163">
        <v>0.01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</v>
      </c>
      <c r="U163">
        <v>0</v>
      </c>
      <c r="V163">
        <v>6.3</v>
      </c>
      <c r="W163">
        <v>0</v>
      </c>
      <c r="Y163">
        <v>0</v>
      </c>
    </row>
    <row r="164" spans="1:25" x14ac:dyDescent="0.3">
      <c r="A164" s="30"/>
      <c r="B164" s="2">
        <v>45055</v>
      </c>
      <c r="C164" s="1" t="s">
        <v>31</v>
      </c>
      <c r="D164" s="1" t="s">
        <v>34</v>
      </c>
      <c r="E164">
        <v>3.4</v>
      </c>
      <c r="F164">
        <v>16000</v>
      </c>
      <c r="G164">
        <v>0</v>
      </c>
      <c r="H164">
        <v>0</v>
      </c>
      <c r="I164">
        <v>2.6</v>
      </c>
      <c r="J164">
        <v>0.8</v>
      </c>
      <c r="K164">
        <v>0</v>
      </c>
      <c r="L164">
        <v>0</v>
      </c>
      <c r="M164">
        <v>3.41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</v>
      </c>
      <c r="U164">
        <v>0</v>
      </c>
      <c r="V164">
        <v>6.15</v>
      </c>
      <c r="W164">
        <v>0</v>
      </c>
      <c r="Y164">
        <v>0</v>
      </c>
    </row>
    <row r="165" spans="1:25" x14ac:dyDescent="0.3">
      <c r="A165" s="30"/>
      <c r="B165" s="2">
        <v>45056</v>
      </c>
      <c r="C165" s="1" t="s">
        <v>31</v>
      </c>
      <c r="D165" s="1" t="s">
        <v>34</v>
      </c>
      <c r="E165">
        <v>3.65</v>
      </c>
      <c r="F165">
        <v>11005</v>
      </c>
      <c r="G165">
        <v>0</v>
      </c>
      <c r="H165">
        <v>0</v>
      </c>
      <c r="I165">
        <v>2.85</v>
      </c>
      <c r="J165">
        <v>0.8</v>
      </c>
      <c r="K165">
        <v>0</v>
      </c>
      <c r="L165">
        <v>0</v>
      </c>
      <c r="M165">
        <v>3.65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</v>
      </c>
      <c r="U165">
        <v>0</v>
      </c>
      <c r="V165">
        <v>5.9</v>
      </c>
      <c r="W165">
        <v>0</v>
      </c>
      <c r="Y165">
        <v>0</v>
      </c>
    </row>
    <row r="166" spans="1:25" x14ac:dyDescent="0.3">
      <c r="A166" s="30"/>
      <c r="B166" s="2">
        <v>45057</v>
      </c>
      <c r="C166" s="1" t="s">
        <v>31</v>
      </c>
      <c r="D166" s="1" t="s">
        <v>34</v>
      </c>
      <c r="E166">
        <v>2.95</v>
      </c>
      <c r="F166">
        <v>10500</v>
      </c>
      <c r="G166">
        <v>0</v>
      </c>
      <c r="H166">
        <v>0.1</v>
      </c>
      <c r="I166">
        <v>2.0499999999999998</v>
      </c>
      <c r="J166">
        <v>0.8</v>
      </c>
      <c r="K166">
        <v>0</v>
      </c>
      <c r="L166">
        <v>0</v>
      </c>
      <c r="M166">
        <v>2.93</v>
      </c>
      <c r="N166">
        <v>0.1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</v>
      </c>
      <c r="U166">
        <v>0</v>
      </c>
      <c r="V166">
        <v>5.45</v>
      </c>
      <c r="W166">
        <v>0</v>
      </c>
      <c r="Y166">
        <v>0</v>
      </c>
    </row>
    <row r="167" spans="1:25" x14ac:dyDescent="0.3">
      <c r="A167" s="30"/>
      <c r="B167" s="2">
        <v>45058</v>
      </c>
      <c r="C167" s="1" t="s">
        <v>31</v>
      </c>
      <c r="D167" s="1" t="s">
        <v>34</v>
      </c>
      <c r="E167">
        <v>2.25</v>
      </c>
      <c r="F167">
        <v>10500</v>
      </c>
      <c r="G167">
        <v>0</v>
      </c>
      <c r="H167">
        <v>0</v>
      </c>
      <c r="I167">
        <v>1.5</v>
      </c>
      <c r="J167">
        <v>0.75</v>
      </c>
      <c r="K167">
        <v>0</v>
      </c>
      <c r="L167">
        <v>0</v>
      </c>
      <c r="M167">
        <v>2.2599999999999998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</v>
      </c>
      <c r="U167">
        <v>0</v>
      </c>
      <c r="V167">
        <v>5.45</v>
      </c>
      <c r="W167">
        <v>0</v>
      </c>
      <c r="Y167">
        <v>0</v>
      </c>
    </row>
    <row r="168" spans="1:25" x14ac:dyDescent="0.3">
      <c r="A168" s="30"/>
      <c r="B168" s="2">
        <v>45059</v>
      </c>
      <c r="C168" s="1" t="s">
        <v>31</v>
      </c>
      <c r="D168" s="1" t="s">
        <v>34</v>
      </c>
      <c r="E168">
        <v>2.35</v>
      </c>
      <c r="F168">
        <v>10500</v>
      </c>
      <c r="G168">
        <v>0</v>
      </c>
      <c r="H168">
        <v>0</v>
      </c>
      <c r="I168">
        <v>1.55</v>
      </c>
      <c r="J168">
        <v>0.8</v>
      </c>
      <c r="K168">
        <v>0</v>
      </c>
      <c r="L168">
        <v>0</v>
      </c>
      <c r="M168">
        <v>2.35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4</v>
      </c>
      <c r="U168">
        <v>0</v>
      </c>
      <c r="V168">
        <v>5.45</v>
      </c>
      <c r="W168">
        <v>0</v>
      </c>
      <c r="Y168">
        <v>0</v>
      </c>
    </row>
    <row r="169" spans="1:25" x14ac:dyDescent="0.3">
      <c r="A169" s="30"/>
      <c r="B169" s="2">
        <v>45060</v>
      </c>
      <c r="C169" s="1" t="s">
        <v>31</v>
      </c>
      <c r="D169" s="1" t="s">
        <v>34</v>
      </c>
      <c r="E169">
        <v>2.5</v>
      </c>
      <c r="F169">
        <v>10500</v>
      </c>
      <c r="G169">
        <v>0</v>
      </c>
      <c r="H169">
        <v>0</v>
      </c>
      <c r="I169">
        <v>1.7</v>
      </c>
      <c r="J169">
        <v>0.8</v>
      </c>
      <c r="K169">
        <v>0</v>
      </c>
      <c r="L169">
        <v>0</v>
      </c>
      <c r="M169">
        <v>2.48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4</v>
      </c>
      <c r="U169">
        <v>0</v>
      </c>
      <c r="V169">
        <v>5.45</v>
      </c>
      <c r="W169">
        <v>0</v>
      </c>
      <c r="Y169">
        <v>0</v>
      </c>
    </row>
    <row r="170" spans="1:25" x14ac:dyDescent="0.3">
      <c r="A170" s="30"/>
      <c r="B170" s="2">
        <v>45061</v>
      </c>
      <c r="C170" s="1" t="s">
        <v>31</v>
      </c>
      <c r="D170" s="1" t="s">
        <v>34</v>
      </c>
      <c r="E170">
        <v>2.4</v>
      </c>
      <c r="F170">
        <v>10500</v>
      </c>
      <c r="G170">
        <v>0</v>
      </c>
      <c r="H170">
        <v>0</v>
      </c>
      <c r="I170">
        <v>1.6</v>
      </c>
      <c r="J170">
        <v>0.8</v>
      </c>
      <c r="K170">
        <v>0</v>
      </c>
      <c r="L170">
        <v>0</v>
      </c>
      <c r="M170">
        <v>2.41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</v>
      </c>
      <c r="U170">
        <v>0</v>
      </c>
      <c r="V170">
        <v>5.45</v>
      </c>
      <c r="W170">
        <v>0</v>
      </c>
      <c r="Y170">
        <v>0</v>
      </c>
    </row>
    <row r="171" spans="1:25" x14ac:dyDescent="0.3">
      <c r="A171" s="30"/>
      <c r="B171" s="2">
        <v>45062</v>
      </c>
      <c r="C171" s="1" t="s">
        <v>31</v>
      </c>
      <c r="D171" s="1" t="s">
        <v>34</v>
      </c>
      <c r="E171">
        <v>2.4</v>
      </c>
      <c r="F171">
        <v>10500</v>
      </c>
      <c r="G171">
        <v>0</v>
      </c>
      <c r="H171">
        <v>0</v>
      </c>
      <c r="I171">
        <v>1.6</v>
      </c>
      <c r="J171">
        <v>0.8</v>
      </c>
      <c r="K171">
        <v>0</v>
      </c>
      <c r="L171">
        <v>0</v>
      </c>
      <c r="M171">
        <v>2.42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</v>
      </c>
      <c r="U171">
        <v>0</v>
      </c>
      <c r="V171">
        <v>5.45</v>
      </c>
      <c r="W171">
        <v>0</v>
      </c>
      <c r="Y171">
        <v>0</v>
      </c>
    </row>
    <row r="172" spans="1:25" x14ac:dyDescent="0.3">
      <c r="A172" s="30"/>
      <c r="B172" s="2">
        <v>45063</v>
      </c>
      <c r="C172" s="1" t="s">
        <v>31</v>
      </c>
      <c r="D172" s="1" t="s">
        <v>34</v>
      </c>
      <c r="E172">
        <v>2.35</v>
      </c>
      <c r="F172">
        <v>10500</v>
      </c>
      <c r="G172">
        <v>0</v>
      </c>
      <c r="H172">
        <v>0</v>
      </c>
      <c r="I172">
        <v>1.55</v>
      </c>
      <c r="J172">
        <v>0.8</v>
      </c>
      <c r="K172">
        <v>0</v>
      </c>
      <c r="L172">
        <v>0</v>
      </c>
      <c r="M172">
        <v>2.35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3</v>
      </c>
      <c r="U172">
        <v>0</v>
      </c>
      <c r="V172">
        <v>5.45</v>
      </c>
      <c r="W172">
        <v>0</v>
      </c>
      <c r="Y172">
        <v>0</v>
      </c>
    </row>
    <row r="173" spans="1:25" x14ac:dyDescent="0.3">
      <c r="A173" s="30"/>
      <c r="B173" s="2">
        <v>45064</v>
      </c>
      <c r="C173" s="1" t="s">
        <v>31</v>
      </c>
      <c r="D173" s="1" t="s">
        <v>34</v>
      </c>
      <c r="E173">
        <v>2.2999999999999998</v>
      </c>
      <c r="F173">
        <v>10500</v>
      </c>
      <c r="G173">
        <v>0</v>
      </c>
      <c r="H173">
        <v>0</v>
      </c>
      <c r="I173">
        <v>1.5</v>
      </c>
      <c r="J173">
        <v>0.8</v>
      </c>
      <c r="K173">
        <v>0</v>
      </c>
      <c r="L173">
        <v>0</v>
      </c>
      <c r="M173">
        <v>2.2999999999999998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4</v>
      </c>
      <c r="U173">
        <v>0</v>
      </c>
      <c r="V173">
        <v>5.45</v>
      </c>
      <c r="W173">
        <v>0</v>
      </c>
      <c r="Y173">
        <v>0</v>
      </c>
    </row>
    <row r="174" spans="1:25" x14ac:dyDescent="0.3">
      <c r="A174" s="30"/>
      <c r="B174" s="2">
        <v>45065</v>
      </c>
      <c r="C174" s="1" t="s">
        <v>31</v>
      </c>
      <c r="D174" s="1" t="s">
        <v>34</v>
      </c>
      <c r="E174">
        <v>3.15</v>
      </c>
      <c r="F174">
        <v>6985</v>
      </c>
      <c r="G174">
        <v>0</v>
      </c>
      <c r="H174">
        <v>0.1</v>
      </c>
      <c r="I174">
        <v>2.2999999999999998</v>
      </c>
      <c r="J174">
        <v>0.75</v>
      </c>
      <c r="K174">
        <v>0</v>
      </c>
      <c r="L174">
        <v>0</v>
      </c>
      <c r="M174">
        <v>3.16</v>
      </c>
      <c r="N174">
        <v>0.12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</v>
      </c>
      <c r="U174">
        <v>0</v>
      </c>
      <c r="V174">
        <v>5</v>
      </c>
      <c r="W174">
        <v>0</v>
      </c>
      <c r="Y174">
        <v>0</v>
      </c>
    </row>
    <row r="175" spans="1:25" x14ac:dyDescent="0.3">
      <c r="A175" s="30"/>
      <c r="B175" s="29">
        <v>45066</v>
      </c>
      <c r="C175" s="1" t="s">
        <v>41</v>
      </c>
      <c r="D175" s="1" t="s">
        <v>34</v>
      </c>
      <c r="E175">
        <v>2.0499999999999998</v>
      </c>
      <c r="F175">
        <v>6000</v>
      </c>
      <c r="G175">
        <v>0</v>
      </c>
      <c r="H175">
        <v>0</v>
      </c>
      <c r="I175">
        <v>1.6</v>
      </c>
      <c r="J175">
        <v>0.45</v>
      </c>
      <c r="K175">
        <v>0</v>
      </c>
      <c r="L175">
        <v>0</v>
      </c>
      <c r="M175">
        <v>2.06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</v>
      </c>
      <c r="U175">
        <v>0</v>
      </c>
      <c r="V175">
        <v>5.25</v>
      </c>
      <c r="W175">
        <v>0</v>
      </c>
      <c r="Y175">
        <v>0</v>
      </c>
    </row>
    <row r="176" spans="1:25" x14ac:dyDescent="0.3">
      <c r="A176" s="30"/>
      <c r="B176" s="30"/>
      <c r="C176" s="1" t="s">
        <v>45</v>
      </c>
      <c r="D176" s="1" t="s">
        <v>34</v>
      </c>
      <c r="E176">
        <v>4.1500000000000004</v>
      </c>
      <c r="F176">
        <v>6000</v>
      </c>
      <c r="G176">
        <v>64</v>
      </c>
      <c r="H176">
        <v>3.6</v>
      </c>
      <c r="I176">
        <v>0.45</v>
      </c>
      <c r="J176">
        <v>0.1</v>
      </c>
      <c r="K176">
        <v>0</v>
      </c>
      <c r="L176">
        <v>0</v>
      </c>
      <c r="M176">
        <v>4.07</v>
      </c>
      <c r="N176">
        <v>3.62</v>
      </c>
      <c r="O176">
        <v>0</v>
      </c>
      <c r="P176">
        <v>0</v>
      </c>
      <c r="Q176">
        <v>0</v>
      </c>
      <c r="R176">
        <v>0.1</v>
      </c>
      <c r="S176">
        <v>4.5</v>
      </c>
      <c r="T176">
        <v>3</v>
      </c>
      <c r="U176">
        <v>4858.3599999999997</v>
      </c>
      <c r="V176">
        <v>5.25</v>
      </c>
      <c r="W176">
        <v>13.78</v>
      </c>
      <c r="X176">
        <v>14.22</v>
      </c>
      <c r="Y176">
        <v>92.59</v>
      </c>
    </row>
    <row r="177" spans="1:25" x14ac:dyDescent="0.3">
      <c r="A177" s="30"/>
      <c r="B177" s="30"/>
      <c r="C177" s="1" t="s">
        <v>42</v>
      </c>
      <c r="D177" s="1" t="s">
        <v>34</v>
      </c>
      <c r="E177">
        <v>0.65</v>
      </c>
      <c r="F177">
        <v>6000</v>
      </c>
      <c r="G177">
        <v>10</v>
      </c>
      <c r="H177">
        <v>0.5</v>
      </c>
      <c r="I177">
        <v>0.15</v>
      </c>
      <c r="J177">
        <v>0.05</v>
      </c>
      <c r="K177">
        <v>0</v>
      </c>
      <c r="L177">
        <v>0</v>
      </c>
      <c r="M177">
        <v>0.67</v>
      </c>
      <c r="N177">
        <v>0.49</v>
      </c>
      <c r="O177">
        <v>0</v>
      </c>
      <c r="P177">
        <v>0</v>
      </c>
      <c r="Q177">
        <v>0</v>
      </c>
      <c r="R177">
        <v>0</v>
      </c>
      <c r="S177">
        <v>1.5</v>
      </c>
      <c r="T177">
        <v>3</v>
      </c>
      <c r="U177">
        <v>1837.62</v>
      </c>
      <c r="V177">
        <v>5.25</v>
      </c>
      <c r="W177">
        <v>6.67</v>
      </c>
      <c r="X177">
        <v>6.67</v>
      </c>
      <c r="Y177">
        <v>0</v>
      </c>
    </row>
    <row r="178" spans="1:25" x14ac:dyDescent="0.3">
      <c r="A178" s="30"/>
      <c r="B178" s="29">
        <v>45067</v>
      </c>
      <c r="C178" s="1" t="s">
        <v>40</v>
      </c>
      <c r="D178" s="1" t="s">
        <v>34</v>
      </c>
      <c r="E178">
        <v>8.5</v>
      </c>
      <c r="F178">
        <v>6000</v>
      </c>
      <c r="G178">
        <v>122</v>
      </c>
      <c r="H178">
        <v>7.85</v>
      </c>
      <c r="I178">
        <v>0.7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7.83</v>
      </c>
      <c r="R178">
        <v>0.68</v>
      </c>
      <c r="S178">
        <v>9</v>
      </c>
      <c r="T178">
        <v>3</v>
      </c>
      <c r="U178">
        <v>5240.0200000000004</v>
      </c>
      <c r="V178">
        <v>5.95</v>
      </c>
      <c r="W178">
        <v>13.22</v>
      </c>
      <c r="X178">
        <v>13.56</v>
      </c>
      <c r="Y178">
        <v>95.94</v>
      </c>
    </row>
    <row r="179" spans="1:25" x14ac:dyDescent="0.3">
      <c r="A179" s="30"/>
      <c r="B179" s="30"/>
      <c r="C179" s="1" t="s">
        <v>37</v>
      </c>
      <c r="D179" s="1" t="s">
        <v>34</v>
      </c>
      <c r="E179">
        <v>20.6</v>
      </c>
      <c r="F179">
        <v>6000</v>
      </c>
      <c r="G179">
        <v>313</v>
      </c>
      <c r="H179">
        <v>18.399999999999999</v>
      </c>
      <c r="I179">
        <v>2.0499999999999998</v>
      </c>
      <c r="J179">
        <v>0.15</v>
      </c>
      <c r="K179">
        <v>0</v>
      </c>
      <c r="L179">
        <v>0</v>
      </c>
      <c r="M179">
        <v>10.74</v>
      </c>
      <c r="N179">
        <v>9.93</v>
      </c>
      <c r="O179">
        <v>0</v>
      </c>
      <c r="P179">
        <v>0</v>
      </c>
      <c r="Q179">
        <v>8.4499999999999993</v>
      </c>
      <c r="R179">
        <v>1.39</v>
      </c>
      <c r="S179">
        <v>23</v>
      </c>
      <c r="T179">
        <v>3</v>
      </c>
      <c r="U179">
        <v>4823.6400000000003</v>
      </c>
      <c r="V179">
        <v>5.25</v>
      </c>
      <c r="W179">
        <v>13.17</v>
      </c>
      <c r="X179">
        <v>13.61</v>
      </c>
      <c r="Y179">
        <v>96.87</v>
      </c>
    </row>
    <row r="180" spans="1:25" x14ac:dyDescent="0.3">
      <c r="A180" s="30"/>
      <c r="B180" s="29">
        <v>45068</v>
      </c>
      <c r="C180" s="1" t="s">
        <v>28</v>
      </c>
      <c r="D180" s="1" t="s">
        <v>34</v>
      </c>
      <c r="E180">
        <v>5.05</v>
      </c>
      <c r="F180">
        <v>6000</v>
      </c>
      <c r="G180">
        <v>77</v>
      </c>
      <c r="H180">
        <v>4.0999999999999996</v>
      </c>
      <c r="I180">
        <v>0.8</v>
      </c>
      <c r="J180">
        <v>0.15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4.12</v>
      </c>
      <c r="R180">
        <v>0.94000000000000006</v>
      </c>
      <c r="S180">
        <v>9.6</v>
      </c>
      <c r="T180">
        <v>1</v>
      </c>
      <c r="U180">
        <v>2466.4699999999998</v>
      </c>
      <c r="V180">
        <v>5.25</v>
      </c>
      <c r="W180">
        <v>8.33</v>
      </c>
      <c r="X180">
        <v>8.02</v>
      </c>
      <c r="Y180">
        <v>0</v>
      </c>
    </row>
    <row r="181" spans="1:25" x14ac:dyDescent="0.3">
      <c r="A181" s="30"/>
      <c r="B181" s="30"/>
      <c r="C181" s="1" t="s">
        <v>32</v>
      </c>
      <c r="D181" s="1" t="s">
        <v>34</v>
      </c>
      <c r="E181">
        <v>0.75</v>
      </c>
      <c r="F181">
        <v>6000</v>
      </c>
      <c r="G181">
        <v>0</v>
      </c>
      <c r="H181">
        <v>0</v>
      </c>
      <c r="I181">
        <v>0.4</v>
      </c>
      <c r="J181">
        <v>0.3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0.73</v>
      </c>
      <c r="S181">
        <v>0</v>
      </c>
      <c r="T181">
        <v>1</v>
      </c>
      <c r="U181">
        <v>0</v>
      </c>
      <c r="V181">
        <v>5.9</v>
      </c>
      <c r="W181">
        <v>0</v>
      </c>
      <c r="Y181">
        <v>0</v>
      </c>
    </row>
    <row r="182" spans="1:25" x14ac:dyDescent="0.3">
      <c r="A182" s="30"/>
      <c r="B182" s="2">
        <v>45069</v>
      </c>
      <c r="C182" s="1" t="s">
        <v>31</v>
      </c>
      <c r="D182" s="1" t="s">
        <v>34</v>
      </c>
      <c r="E182">
        <v>3.4</v>
      </c>
      <c r="F182">
        <v>5450</v>
      </c>
      <c r="G182">
        <v>0</v>
      </c>
      <c r="H182">
        <v>0</v>
      </c>
      <c r="I182">
        <v>2.5499999999999998</v>
      </c>
      <c r="J182">
        <v>0.85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3.41</v>
      </c>
      <c r="S182">
        <v>0</v>
      </c>
      <c r="T182">
        <v>1</v>
      </c>
      <c r="U182">
        <v>0</v>
      </c>
      <c r="V182">
        <v>5.8</v>
      </c>
      <c r="W182">
        <v>0</v>
      </c>
      <c r="Y182">
        <v>0</v>
      </c>
    </row>
    <row r="183" spans="1:25" x14ac:dyDescent="0.3">
      <c r="A183" s="30"/>
      <c r="B183" s="2">
        <v>45070</v>
      </c>
      <c r="C183" s="1" t="s">
        <v>44</v>
      </c>
      <c r="D183" s="1" t="s">
        <v>34</v>
      </c>
      <c r="E183">
        <v>3.3</v>
      </c>
      <c r="F183">
        <v>4360</v>
      </c>
      <c r="G183">
        <v>0</v>
      </c>
      <c r="H183">
        <v>0</v>
      </c>
      <c r="I183">
        <v>2.4500000000000002</v>
      </c>
      <c r="J183">
        <v>0.8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3.29</v>
      </c>
      <c r="S183">
        <v>0</v>
      </c>
      <c r="T183">
        <v>1</v>
      </c>
      <c r="U183">
        <v>0</v>
      </c>
      <c r="V183">
        <v>5.55</v>
      </c>
      <c r="W183">
        <v>0</v>
      </c>
      <c r="Y183">
        <v>0</v>
      </c>
    </row>
    <row r="184" spans="1:25" x14ac:dyDescent="0.3">
      <c r="A184" s="30"/>
      <c r="B184" s="2">
        <v>45071</v>
      </c>
      <c r="C184" s="1" t="s">
        <v>31</v>
      </c>
      <c r="D184" s="1" t="s">
        <v>34</v>
      </c>
      <c r="E184">
        <v>3.25</v>
      </c>
      <c r="F184">
        <v>3250</v>
      </c>
      <c r="G184">
        <v>0</v>
      </c>
      <c r="H184">
        <v>0</v>
      </c>
      <c r="I184">
        <v>2.4</v>
      </c>
      <c r="J184">
        <v>0.8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3.23</v>
      </c>
      <c r="S184">
        <v>0</v>
      </c>
      <c r="T184">
        <v>1</v>
      </c>
      <c r="U184">
        <v>0</v>
      </c>
      <c r="V184">
        <v>5.5</v>
      </c>
      <c r="W184">
        <v>0</v>
      </c>
      <c r="Y184">
        <v>0</v>
      </c>
    </row>
    <row r="185" spans="1:25" x14ac:dyDescent="0.3">
      <c r="A185" s="30"/>
      <c r="B185" s="2">
        <v>45072</v>
      </c>
      <c r="C185" s="1" t="s">
        <v>31</v>
      </c>
      <c r="D185" s="1" t="s">
        <v>34</v>
      </c>
      <c r="E185">
        <v>3.15</v>
      </c>
      <c r="F185">
        <v>2950</v>
      </c>
      <c r="G185">
        <v>0</v>
      </c>
      <c r="H185">
        <v>0</v>
      </c>
      <c r="I185">
        <v>2.35</v>
      </c>
      <c r="J185">
        <v>0.8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3.16</v>
      </c>
      <c r="S185">
        <v>0</v>
      </c>
      <c r="T185">
        <v>1</v>
      </c>
      <c r="U185">
        <v>0</v>
      </c>
      <c r="V185">
        <v>5.15</v>
      </c>
      <c r="W185">
        <v>0</v>
      </c>
      <c r="Y185">
        <v>0</v>
      </c>
    </row>
    <row r="186" spans="1:25" x14ac:dyDescent="0.3">
      <c r="A186" s="30"/>
      <c r="B186" s="2">
        <v>45073</v>
      </c>
      <c r="C186" s="1" t="s">
        <v>31</v>
      </c>
      <c r="D186" s="1" t="s">
        <v>34</v>
      </c>
      <c r="E186">
        <v>3.1</v>
      </c>
      <c r="F186">
        <v>1198</v>
      </c>
      <c r="G186">
        <v>0</v>
      </c>
      <c r="H186">
        <v>0</v>
      </c>
      <c r="I186">
        <v>2.2999999999999998</v>
      </c>
      <c r="J186">
        <v>0.8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3.09</v>
      </c>
      <c r="S186">
        <v>0</v>
      </c>
      <c r="T186">
        <v>1</v>
      </c>
      <c r="U186">
        <v>0</v>
      </c>
      <c r="V186">
        <v>4.8</v>
      </c>
      <c r="W186">
        <v>0</v>
      </c>
      <c r="Y186">
        <v>0</v>
      </c>
    </row>
    <row r="187" spans="1:25" x14ac:dyDescent="0.3">
      <c r="A187" s="30"/>
      <c r="B187" s="2">
        <v>45074</v>
      </c>
      <c r="C187" s="1" t="s">
        <v>51</v>
      </c>
      <c r="D187" s="1" t="s">
        <v>34</v>
      </c>
      <c r="E187">
        <v>3.25</v>
      </c>
      <c r="F187">
        <v>0</v>
      </c>
      <c r="G187">
        <v>0</v>
      </c>
      <c r="H187">
        <v>0</v>
      </c>
      <c r="I187">
        <v>2.4</v>
      </c>
      <c r="J187">
        <v>0.8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3.24</v>
      </c>
      <c r="S187">
        <v>0</v>
      </c>
      <c r="T187">
        <v>1</v>
      </c>
      <c r="U187">
        <v>0</v>
      </c>
      <c r="V187">
        <v>5</v>
      </c>
      <c r="W187">
        <v>0</v>
      </c>
      <c r="Y187">
        <v>0</v>
      </c>
    </row>
    <row r="188" spans="1:25" x14ac:dyDescent="0.3">
      <c r="A188" s="30">
        <v>58</v>
      </c>
      <c r="B188" s="29">
        <v>45074</v>
      </c>
      <c r="C188" s="1" t="s">
        <v>41</v>
      </c>
      <c r="D188" s="1" t="s">
        <v>26</v>
      </c>
      <c r="E188">
        <v>0.3</v>
      </c>
      <c r="F188">
        <v>0</v>
      </c>
      <c r="G188">
        <v>0</v>
      </c>
      <c r="H188">
        <v>0</v>
      </c>
      <c r="I188">
        <v>0.2</v>
      </c>
      <c r="J188">
        <v>0.1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0.31</v>
      </c>
      <c r="S188">
        <v>0</v>
      </c>
      <c r="T188">
        <v>1</v>
      </c>
      <c r="U188">
        <v>0</v>
      </c>
      <c r="V188">
        <v>5</v>
      </c>
      <c r="W188">
        <v>0</v>
      </c>
      <c r="Y188">
        <v>0</v>
      </c>
    </row>
    <row r="189" spans="1:25" x14ac:dyDescent="0.3">
      <c r="A189" s="30"/>
      <c r="B189" s="30"/>
      <c r="C189" s="1" t="s">
        <v>42</v>
      </c>
      <c r="D189" s="1" t="s">
        <v>26</v>
      </c>
      <c r="E189">
        <v>2.95</v>
      </c>
      <c r="F189">
        <v>0</v>
      </c>
      <c r="G189">
        <v>52</v>
      </c>
      <c r="H189">
        <v>2.2000000000000002</v>
      </c>
      <c r="I189">
        <v>0.7</v>
      </c>
      <c r="J189">
        <v>0.05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2.2200000000000002</v>
      </c>
      <c r="R189">
        <v>0.74</v>
      </c>
      <c r="S189">
        <v>6.2</v>
      </c>
      <c r="T189">
        <v>2</v>
      </c>
      <c r="U189">
        <v>2030.25</v>
      </c>
      <c r="V189">
        <v>5</v>
      </c>
      <c r="W189">
        <v>8.23</v>
      </c>
      <c r="X189">
        <v>8.39</v>
      </c>
      <c r="Y189">
        <v>0</v>
      </c>
    </row>
    <row r="190" spans="1:25" x14ac:dyDescent="0.3">
      <c r="A190" s="30"/>
      <c r="B190" s="29">
        <v>45075</v>
      </c>
      <c r="C190" s="1" t="s">
        <v>39</v>
      </c>
      <c r="D190" s="1" t="s">
        <v>26</v>
      </c>
      <c r="E190">
        <v>10.3</v>
      </c>
      <c r="F190">
        <v>0</v>
      </c>
      <c r="G190">
        <v>189</v>
      </c>
      <c r="H190">
        <v>9.1999999999999993</v>
      </c>
      <c r="I190">
        <v>1.1499999999999999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9.19</v>
      </c>
      <c r="R190">
        <v>1.1299999999999999</v>
      </c>
      <c r="S190">
        <v>15.7</v>
      </c>
      <c r="T190">
        <v>3</v>
      </c>
      <c r="U190">
        <v>3426.87</v>
      </c>
      <c r="V190">
        <v>5</v>
      </c>
      <c r="W190">
        <v>11.85</v>
      </c>
      <c r="X190">
        <v>12.04</v>
      </c>
      <c r="Y190">
        <v>86.59</v>
      </c>
    </row>
    <row r="191" spans="1:25" x14ac:dyDescent="0.3">
      <c r="A191" s="30"/>
      <c r="B191" s="30"/>
      <c r="C191" s="1" t="s">
        <v>54</v>
      </c>
      <c r="D191" s="1" t="s">
        <v>26</v>
      </c>
      <c r="E191">
        <v>5.25</v>
      </c>
      <c r="F191">
        <v>0</v>
      </c>
      <c r="G191">
        <v>100</v>
      </c>
      <c r="H191">
        <v>4.55</v>
      </c>
      <c r="I191">
        <v>0.7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4.55</v>
      </c>
      <c r="R191">
        <v>0.7</v>
      </c>
      <c r="S191">
        <v>8.1</v>
      </c>
      <c r="T191">
        <v>2</v>
      </c>
      <c r="U191">
        <v>3279.75</v>
      </c>
      <c r="V191">
        <v>4.4249999999999998</v>
      </c>
      <c r="W191">
        <v>11.98</v>
      </c>
      <c r="X191">
        <v>12.35</v>
      </c>
      <c r="Y191">
        <v>85.49</v>
      </c>
    </row>
    <row r="192" spans="1:25" x14ac:dyDescent="0.3">
      <c r="A192" s="30"/>
      <c r="B192" s="2">
        <v>45076</v>
      </c>
      <c r="C192" s="1" t="s">
        <v>56</v>
      </c>
      <c r="D192" s="1" t="s">
        <v>26</v>
      </c>
      <c r="E192">
        <v>6.8</v>
      </c>
      <c r="F192">
        <v>0</v>
      </c>
      <c r="G192">
        <v>110</v>
      </c>
      <c r="H192">
        <v>5.15</v>
      </c>
      <c r="I192">
        <v>1.3</v>
      </c>
      <c r="J192">
        <v>0.35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5.17</v>
      </c>
      <c r="R192">
        <v>1.64</v>
      </c>
      <c r="S192">
        <v>13.2</v>
      </c>
      <c r="T192">
        <v>1</v>
      </c>
      <c r="U192">
        <v>1828.35</v>
      </c>
      <c r="V192">
        <v>4.4249999999999998</v>
      </c>
      <c r="W192">
        <v>8.64</v>
      </c>
      <c r="X192">
        <v>8.33</v>
      </c>
      <c r="Y192">
        <v>0</v>
      </c>
    </row>
    <row r="193" spans="1:25" x14ac:dyDescent="0.3">
      <c r="A193" s="30"/>
      <c r="B193" s="2">
        <v>45077</v>
      </c>
      <c r="C193" s="1" t="s">
        <v>56</v>
      </c>
      <c r="D193" s="1" t="s">
        <v>26</v>
      </c>
      <c r="E193">
        <v>2.35</v>
      </c>
      <c r="F193">
        <v>0</v>
      </c>
      <c r="G193">
        <v>0</v>
      </c>
      <c r="H193">
        <v>0</v>
      </c>
      <c r="I193">
        <v>1.65</v>
      </c>
      <c r="J193">
        <v>0.65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2.34</v>
      </c>
      <c r="S193">
        <v>0</v>
      </c>
      <c r="T193">
        <v>1</v>
      </c>
      <c r="U193">
        <v>0</v>
      </c>
      <c r="V193">
        <v>4.4249999999999998</v>
      </c>
      <c r="X193">
        <v>0</v>
      </c>
      <c r="Y193">
        <v>0</v>
      </c>
    </row>
    <row r="194" spans="1:25" x14ac:dyDescent="0.3">
      <c r="A194" s="30"/>
      <c r="B194" s="2">
        <v>45078</v>
      </c>
      <c r="C194" s="1" t="s">
        <v>27</v>
      </c>
      <c r="D194" s="1" t="s">
        <v>26</v>
      </c>
      <c r="E194">
        <v>2.35</v>
      </c>
      <c r="F194">
        <v>0</v>
      </c>
      <c r="G194">
        <v>0</v>
      </c>
      <c r="H194">
        <v>0</v>
      </c>
      <c r="I194">
        <v>1.65</v>
      </c>
      <c r="J194">
        <v>0.7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2.33</v>
      </c>
      <c r="S194">
        <v>0</v>
      </c>
      <c r="T194">
        <v>1</v>
      </c>
      <c r="U194">
        <v>0</v>
      </c>
      <c r="V194">
        <v>4.4249999999999998</v>
      </c>
      <c r="X194">
        <v>0</v>
      </c>
      <c r="Y194">
        <v>0</v>
      </c>
    </row>
    <row r="195" spans="1:25" x14ac:dyDescent="0.3">
      <c r="A195" s="30"/>
      <c r="B195" s="2">
        <v>45079</v>
      </c>
      <c r="C195" s="1" t="s">
        <v>27</v>
      </c>
      <c r="D195" s="1" t="s">
        <v>26</v>
      </c>
      <c r="E195">
        <v>2.2999999999999998</v>
      </c>
      <c r="F195">
        <v>0</v>
      </c>
      <c r="G195">
        <v>0</v>
      </c>
      <c r="H195">
        <v>0</v>
      </c>
      <c r="I195">
        <v>1.55</v>
      </c>
      <c r="J195">
        <v>0.75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2.2799999999999998</v>
      </c>
      <c r="S195">
        <v>0</v>
      </c>
      <c r="T195">
        <v>1</v>
      </c>
      <c r="U195">
        <v>0</v>
      </c>
      <c r="V195">
        <v>4.4249999999999998</v>
      </c>
      <c r="X195">
        <v>0</v>
      </c>
      <c r="Y195">
        <v>0</v>
      </c>
    </row>
    <row r="196" spans="1:25" x14ac:dyDescent="0.3">
      <c r="A196" s="30"/>
      <c r="B196" s="2">
        <v>45080</v>
      </c>
      <c r="C196" s="1" t="s">
        <v>27</v>
      </c>
      <c r="D196" s="1" t="s">
        <v>26</v>
      </c>
      <c r="E196">
        <v>3.5</v>
      </c>
      <c r="F196">
        <v>0</v>
      </c>
      <c r="G196">
        <v>28</v>
      </c>
      <c r="H196">
        <v>1.3</v>
      </c>
      <c r="I196">
        <v>1.65</v>
      </c>
      <c r="J196">
        <v>0.55000000000000004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1.29</v>
      </c>
      <c r="R196">
        <v>2.19</v>
      </c>
      <c r="S196">
        <v>3.9</v>
      </c>
      <c r="T196">
        <v>1</v>
      </c>
      <c r="U196">
        <v>0</v>
      </c>
      <c r="V196">
        <v>4.4249999999999998</v>
      </c>
      <c r="W196">
        <v>6.92</v>
      </c>
      <c r="X196">
        <v>7.18</v>
      </c>
      <c r="Y196">
        <v>0</v>
      </c>
    </row>
    <row r="197" spans="1:25" x14ac:dyDescent="0.3">
      <c r="A197" s="30"/>
      <c r="B197" s="2">
        <v>45081</v>
      </c>
      <c r="C197" s="1" t="s">
        <v>27</v>
      </c>
      <c r="D197" s="1" t="s">
        <v>26</v>
      </c>
      <c r="E197">
        <v>2.25</v>
      </c>
      <c r="F197">
        <v>0</v>
      </c>
      <c r="G197">
        <v>0</v>
      </c>
      <c r="H197">
        <v>0</v>
      </c>
      <c r="I197">
        <v>1.6</v>
      </c>
      <c r="J197">
        <v>0.65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2.25</v>
      </c>
      <c r="S197">
        <v>0</v>
      </c>
      <c r="T197">
        <v>1</v>
      </c>
      <c r="U197">
        <v>0</v>
      </c>
      <c r="V197">
        <v>4.4249999999999998</v>
      </c>
      <c r="X197">
        <v>0</v>
      </c>
      <c r="Y197">
        <v>0</v>
      </c>
    </row>
    <row r="198" spans="1:25" x14ac:dyDescent="0.3">
      <c r="A198" s="30"/>
      <c r="B198" s="2">
        <v>45082</v>
      </c>
      <c r="C198" s="1" t="s">
        <v>27</v>
      </c>
      <c r="D198" s="1" t="s">
        <v>26</v>
      </c>
      <c r="E198">
        <v>2.15</v>
      </c>
      <c r="F198">
        <v>0</v>
      </c>
      <c r="G198">
        <v>0</v>
      </c>
      <c r="H198">
        <v>0</v>
      </c>
      <c r="I198">
        <v>1.55</v>
      </c>
      <c r="J198">
        <v>0.6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2.13</v>
      </c>
      <c r="S198">
        <v>0</v>
      </c>
      <c r="T198">
        <v>1</v>
      </c>
      <c r="U198">
        <v>0</v>
      </c>
      <c r="V198">
        <v>4.4749999999999996</v>
      </c>
      <c r="X198">
        <v>0</v>
      </c>
      <c r="Y198">
        <v>0</v>
      </c>
    </row>
    <row r="199" spans="1:25" x14ac:dyDescent="0.3">
      <c r="A199" s="30"/>
      <c r="B199" s="29">
        <v>45083</v>
      </c>
      <c r="C199" s="1" t="s">
        <v>29</v>
      </c>
      <c r="D199" s="1" t="s">
        <v>26</v>
      </c>
      <c r="E199">
        <v>1</v>
      </c>
      <c r="F199">
        <v>3000</v>
      </c>
      <c r="G199">
        <v>0</v>
      </c>
      <c r="H199">
        <v>0</v>
      </c>
      <c r="I199">
        <v>0.75</v>
      </c>
      <c r="J199">
        <v>0.25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1.01</v>
      </c>
      <c r="S199">
        <v>0</v>
      </c>
      <c r="T199">
        <v>1</v>
      </c>
      <c r="U199">
        <v>0</v>
      </c>
      <c r="V199">
        <v>5.0999999999999996</v>
      </c>
      <c r="W199">
        <v>0</v>
      </c>
      <c r="Y199">
        <v>0</v>
      </c>
    </row>
    <row r="200" spans="1:25" x14ac:dyDescent="0.3">
      <c r="A200" s="30"/>
      <c r="B200" s="30"/>
      <c r="C200" s="1" t="s">
        <v>28</v>
      </c>
      <c r="D200" s="1" t="s">
        <v>26</v>
      </c>
      <c r="E200">
        <v>1.6</v>
      </c>
      <c r="F200">
        <v>0</v>
      </c>
      <c r="G200">
        <v>5</v>
      </c>
      <c r="H200">
        <v>0.2</v>
      </c>
      <c r="I200">
        <v>1.05</v>
      </c>
      <c r="J200">
        <v>0.35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0.19</v>
      </c>
      <c r="R200">
        <v>1.43</v>
      </c>
      <c r="S200">
        <v>2.1</v>
      </c>
      <c r="T200">
        <v>1</v>
      </c>
      <c r="U200">
        <v>0</v>
      </c>
      <c r="V200">
        <v>6.2249999999999996</v>
      </c>
      <c r="W200">
        <v>2.86</v>
      </c>
      <c r="X200">
        <v>2.38</v>
      </c>
      <c r="Y200">
        <v>0</v>
      </c>
    </row>
    <row r="201" spans="1:25" x14ac:dyDescent="0.3">
      <c r="A201" s="30"/>
      <c r="B201" s="29">
        <v>45084</v>
      </c>
      <c r="C201" s="1" t="s">
        <v>41</v>
      </c>
      <c r="D201" s="1" t="s">
        <v>34</v>
      </c>
      <c r="E201">
        <v>0.5</v>
      </c>
      <c r="F201">
        <v>27703.5</v>
      </c>
      <c r="G201">
        <v>0</v>
      </c>
      <c r="H201">
        <v>0</v>
      </c>
      <c r="I201">
        <v>0.35</v>
      </c>
      <c r="J201">
        <v>0.15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0.5</v>
      </c>
      <c r="S201">
        <v>0</v>
      </c>
      <c r="T201">
        <v>1</v>
      </c>
      <c r="U201">
        <v>0</v>
      </c>
      <c r="V201">
        <v>8.8800000000000008</v>
      </c>
      <c r="W201">
        <v>0</v>
      </c>
      <c r="Y201">
        <v>0</v>
      </c>
    </row>
    <row r="202" spans="1:25" x14ac:dyDescent="0.3">
      <c r="A202" s="30"/>
      <c r="B202" s="30"/>
      <c r="C202" s="1" t="s">
        <v>30</v>
      </c>
      <c r="D202" s="1" t="s">
        <v>26</v>
      </c>
      <c r="E202">
        <v>2.95</v>
      </c>
      <c r="F202">
        <v>24810</v>
      </c>
      <c r="G202">
        <v>0</v>
      </c>
      <c r="H202">
        <v>0</v>
      </c>
      <c r="I202">
        <v>2.2999999999999998</v>
      </c>
      <c r="J202">
        <v>0.65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2.96</v>
      </c>
      <c r="S202">
        <v>0</v>
      </c>
      <c r="T202">
        <v>1</v>
      </c>
      <c r="U202">
        <v>0</v>
      </c>
      <c r="V202">
        <v>8.15</v>
      </c>
      <c r="W202">
        <v>0</v>
      </c>
      <c r="Y202">
        <v>0</v>
      </c>
    </row>
    <row r="203" spans="1:25" x14ac:dyDescent="0.3">
      <c r="A203" s="30"/>
      <c r="B203" s="29">
        <v>45085</v>
      </c>
      <c r="C203" s="1" t="s">
        <v>45</v>
      </c>
      <c r="D203" s="1" t="s">
        <v>34</v>
      </c>
      <c r="E203">
        <v>5.25</v>
      </c>
      <c r="F203">
        <v>27703.5</v>
      </c>
      <c r="G203">
        <v>96</v>
      </c>
      <c r="H203">
        <v>4.75</v>
      </c>
      <c r="I203">
        <v>0.45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4.76</v>
      </c>
      <c r="R203">
        <v>0.47</v>
      </c>
      <c r="S203">
        <v>7.3</v>
      </c>
      <c r="T203">
        <v>3</v>
      </c>
      <c r="U203">
        <v>3862.69</v>
      </c>
      <c r="V203">
        <v>8.8800000000000008</v>
      </c>
      <c r="W203">
        <v>13.01</v>
      </c>
      <c r="X203">
        <v>13.15</v>
      </c>
      <c r="Y203">
        <v>90.39</v>
      </c>
    </row>
    <row r="204" spans="1:25" x14ac:dyDescent="0.3">
      <c r="A204" s="30"/>
      <c r="B204" s="30"/>
      <c r="C204" s="1" t="s">
        <v>42</v>
      </c>
      <c r="D204" s="1" t="s">
        <v>34</v>
      </c>
      <c r="E204">
        <v>7</v>
      </c>
      <c r="F204">
        <v>27703.5</v>
      </c>
      <c r="G204">
        <v>127</v>
      </c>
      <c r="H204">
        <v>5.9</v>
      </c>
      <c r="I204">
        <v>1.1000000000000001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5.89</v>
      </c>
      <c r="R204">
        <v>1.1000000000000001</v>
      </c>
      <c r="S204">
        <v>10.9</v>
      </c>
      <c r="T204">
        <v>2</v>
      </c>
      <c r="U204">
        <v>3148.7</v>
      </c>
      <c r="V204">
        <v>8.8800000000000008</v>
      </c>
      <c r="W204">
        <v>10.73</v>
      </c>
      <c r="X204">
        <v>11.65</v>
      </c>
      <c r="Y204">
        <v>0</v>
      </c>
    </row>
    <row r="205" spans="1:25" x14ac:dyDescent="0.3">
      <c r="A205" s="30"/>
      <c r="B205" s="2">
        <v>45086</v>
      </c>
      <c r="C205" s="1" t="s">
        <v>37</v>
      </c>
      <c r="D205" s="1" t="s">
        <v>34</v>
      </c>
      <c r="E205">
        <v>17.3</v>
      </c>
      <c r="F205">
        <v>27703.5</v>
      </c>
      <c r="G205">
        <v>310</v>
      </c>
      <c r="H205">
        <v>15.75</v>
      </c>
      <c r="I205">
        <v>1.55</v>
      </c>
      <c r="J205">
        <v>0</v>
      </c>
      <c r="K205">
        <v>0</v>
      </c>
      <c r="L205">
        <v>0</v>
      </c>
      <c r="M205">
        <v>10.91</v>
      </c>
      <c r="N205">
        <v>9.98</v>
      </c>
      <c r="O205">
        <v>0</v>
      </c>
      <c r="P205">
        <v>0</v>
      </c>
      <c r="Q205">
        <v>5.79</v>
      </c>
      <c r="R205">
        <v>0.62</v>
      </c>
      <c r="S205">
        <v>23.5</v>
      </c>
      <c r="T205">
        <v>3</v>
      </c>
      <c r="U205">
        <v>3986.89</v>
      </c>
      <c r="V205">
        <v>8.65</v>
      </c>
      <c r="W205">
        <v>12.68</v>
      </c>
      <c r="X205">
        <v>13.19</v>
      </c>
      <c r="Y205">
        <v>91.47</v>
      </c>
    </row>
    <row r="206" spans="1:25" x14ac:dyDescent="0.3">
      <c r="A206" s="30"/>
      <c r="B206" s="2">
        <v>45087</v>
      </c>
      <c r="C206" s="1" t="s">
        <v>38</v>
      </c>
      <c r="D206" s="1" t="s">
        <v>34</v>
      </c>
      <c r="E206">
        <v>17</v>
      </c>
      <c r="F206">
        <v>27703.5</v>
      </c>
      <c r="G206">
        <v>327</v>
      </c>
      <c r="H206">
        <v>15.45</v>
      </c>
      <c r="I206">
        <v>1.55</v>
      </c>
      <c r="J206">
        <v>0</v>
      </c>
      <c r="K206">
        <v>0</v>
      </c>
      <c r="L206">
        <v>0</v>
      </c>
      <c r="M206">
        <v>17</v>
      </c>
      <c r="N206">
        <v>15.46</v>
      </c>
      <c r="O206">
        <v>0</v>
      </c>
      <c r="P206">
        <v>0</v>
      </c>
      <c r="Q206">
        <v>0</v>
      </c>
      <c r="R206">
        <v>0</v>
      </c>
      <c r="S206">
        <v>23.5</v>
      </c>
      <c r="T206">
        <v>2</v>
      </c>
      <c r="U206">
        <v>3900.7</v>
      </c>
      <c r="V206">
        <v>8.65</v>
      </c>
      <c r="W206">
        <v>12.46</v>
      </c>
      <c r="X206">
        <v>13.91</v>
      </c>
      <c r="Y206">
        <v>93.72</v>
      </c>
    </row>
    <row r="207" spans="1:25" x14ac:dyDescent="0.3">
      <c r="A207" s="30"/>
      <c r="B207" s="2">
        <v>45088</v>
      </c>
      <c r="C207" s="1" t="s">
        <v>38</v>
      </c>
      <c r="D207" s="1" t="s">
        <v>34</v>
      </c>
      <c r="E207">
        <v>17.5</v>
      </c>
      <c r="F207">
        <v>27703.5</v>
      </c>
      <c r="G207">
        <v>314</v>
      </c>
      <c r="H207">
        <v>15.95</v>
      </c>
      <c r="I207">
        <v>1.55</v>
      </c>
      <c r="J207">
        <v>0</v>
      </c>
      <c r="K207">
        <v>0</v>
      </c>
      <c r="L207">
        <v>0</v>
      </c>
      <c r="M207">
        <v>17.5</v>
      </c>
      <c r="N207">
        <v>15.93</v>
      </c>
      <c r="O207">
        <v>0</v>
      </c>
      <c r="P207">
        <v>0</v>
      </c>
      <c r="Q207">
        <v>0</v>
      </c>
      <c r="R207">
        <v>0</v>
      </c>
      <c r="S207">
        <v>23.5</v>
      </c>
      <c r="T207">
        <v>3</v>
      </c>
      <c r="U207">
        <v>4031.38</v>
      </c>
      <c r="V207">
        <v>8.65</v>
      </c>
      <c r="W207">
        <v>12.47</v>
      </c>
      <c r="X207">
        <v>13.36</v>
      </c>
      <c r="Y207">
        <v>92.19</v>
      </c>
    </row>
    <row r="208" spans="1:25" x14ac:dyDescent="0.3">
      <c r="A208" s="30"/>
      <c r="B208" s="2">
        <v>45089</v>
      </c>
      <c r="C208" s="1" t="s">
        <v>38</v>
      </c>
      <c r="D208" s="1" t="s">
        <v>34</v>
      </c>
      <c r="E208">
        <v>17.399999999999999</v>
      </c>
      <c r="F208">
        <v>27703.5</v>
      </c>
      <c r="G208">
        <v>303</v>
      </c>
      <c r="H208">
        <v>15.8</v>
      </c>
      <c r="I208">
        <v>1.55</v>
      </c>
      <c r="J208">
        <v>0</v>
      </c>
      <c r="K208">
        <v>0</v>
      </c>
      <c r="L208">
        <v>0</v>
      </c>
      <c r="M208">
        <v>17.38</v>
      </c>
      <c r="N208">
        <v>15.82</v>
      </c>
      <c r="O208">
        <v>0</v>
      </c>
      <c r="P208">
        <v>0</v>
      </c>
      <c r="Q208">
        <v>0</v>
      </c>
      <c r="R208">
        <v>0</v>
      </c>
      <c r="S208">
        <v>23.5</v>
      </c>
      <c r="T208">
        <v>3</v>
      </c>
      <c r="U208">
        <v>4000.79</v>
      </c>
      <c r="V208">
        <v>8.65</v>
      </c>
      <c r="W208">
        <v>12.34</v>
      </c>
      <c r="X208">
        <v>12.89</v>
      </c>
      <c r="Y208">
        <v>92.16</v>
      </c>
    </row>
    <row r="209" spans="1:25" x14ac:dyDescent="0.3">
      <c r="A209" s="30"/>
      <c r="B209" s="2">
        <v>45090</v>
      </c>
      <c r="C209" s="1" t="s">
        <v>38</v>
      </c>
      <c r="D209" s="1" t="s">
        <v>34</v>
      </c>
      <c r="E209">
        <v>15.85</v>
      </c>
      <c r="F209">
        <v>27703.5</v>
      </c>
      <c r="G209">
        <v>270</v>
      </c>
      <c r="H209">
        <v>14.4</v>
      </c>
      <c r="I209">
        <v>1.45</v>
      </c>
      <c r="J209">
        <v>0</v>
      </c>
      <c r="K209">
        <v>0</v>
      </c>
      <c r="L209">
        <v>0</v>
      </c>
      <c r="M209">
        <v>15.22</v>
      </c>
      <c r="N209">
        <v>13.9</v>
      </c>
      <c r="O209">
        <v>0</v>
      </c>
      <c r="P209">
        <v>0</v>
      </c>
      <c r="Q209">
        <v>0.52</v>
      </c>
      <c r="R209">
        <v>0.12</v>
      </c>
      <c r="S209">
        <v>21.6</v>
      </c>
      <c r="T209">
        <v>3</v>
      </c>
      <c r="U209">
        <v>3611.55</v>
      </c>
      <c r="V209">
        <v>8.65</v>
      </c>
      <c r="W209">
        <v>12.31</v>
      </c>
      <c r="X209">
        <v>12.5</v>
      </c>
      <c r="Y209">
        <v>81.790000000000006</v>
      </c>
    </row>
    <row r="210" spans="1:25" x14ac:dyDescent="0.3">
      <c r="A210" s="30"/>
      <c r="B210" s="2">
        <v>45091</v>
      </c>
      <c r="C210" s="1" t="s">
        <v>38</v>
      </c>
      <c r="D210" s="1" t="s">
        <v>34</v>
      </c>
      <c r="E210">
        <v>16.7</v>
      </c>
      <c r="F210">
        <v>27703.5</v>
      </c>
      <c r="G210">
        <v>278</v>
      </c>
      <c r="H210">
        <v>15.05</v>
      </c>
      <c r="I210">
        <v>1.6</v>
      </c>
      <c r="J210">
        <v>0.05</v>
      </c>
      <c r="K210">
        <v>0</v>
      </c>
      <c r="L210">
        <v>0</v>
      </c>
      <c r="M210">
        <v>16.12</v>
      </c>
      <c r="N210">
        <v>14.72</v>
      </c>
      <c r="O210">
        <v>0</v>
      </c>
      <c r="P210">
        <v>0</v>
      </c>
      <c r="Q210">
        <v>0.31</v>
      </c>
      <c r="R210">
        <v>0.26</v>
      </c>
      <c r="S210">
        <v>22.2</v>
      </c>
      <c r="T210">
        <v>3</v>
      </c>
      <c r="U210">
        <v>3781.15</v>
      </c>
      <c r="V210">
        <v>8.65</v>
      </c>
      <c r="W210">
        <v>12.75</v>
      </c>
      <c r="X210">
        <v>12.52</v>
      </c>
      <c r="Y210">
        <v>87.84</v>
      </c>
    </row>
    <row r="211" spans="1:25" x14ac:dyDescent="0.3">
      <c r="A211" s="30"/>
      <c r="B211" s="2">
        <v>45092</v>
      </c>
      <c r="C211" s="1" t="s">
        <v>38</v>
      </c>
      <c r="D211" s="1" t="s">
        <v>34</v>
      </c>
      <c r="E211">
        <v>17</v>
      </c>
      <c r="F211">
        <v>27703.5</v>
      </c>
      <c r="G211">
        <v>297</v>
      </c>
      <c r="H211">
        <v>15.45</v>
      </c>
      <c r="I211">
        <v>1.55</v>
      </c>
      <c r="J211">
        <v>0</v>
      </c>
      <c r="K211">
        <v>0</v>
      </c>
      <c r="L211">
        <v>0</v>
      </c>
      <c r="M211">
        <v>17</v>
      </c>
      <c r="N211">
        <v>15.47</v>
      </c>
      <c r="O211">
        <v>0</v>
      </c>
      <c r="P211">
        <v>0</v>
      </c>
      <c r="Q211">
        <v>0</v>
      </c>
      <c r="R211">
        <v>0</v>
      </c>
      <c r="S211">
        <v>23.5</v>
      </c>
      <c r="T211">
        <v>3</v>
      </c>
      <c r="U211">
        <v>3903.48</v>
      </c>
      <c r="V211">
        <v>8.65</v>
      </c>
      <c r="W211">
        <v>12.89</v>
      </c>
      <c r="X211">
        <v>12.64</v>
      </c>
      <c r="Y211">
        <v>92.27</v>
      </c>
    </row>
    <row r="212" spans="1:25" x14ac:dyDescent="0.3">
      <c r="A212" s="30"/>
      <c r="B212" s="2">
        <v>45093</v>
      </c>
      <c r="C212" s="1" t="s">
        <v>38</v>
      </c>
      <c r="D212" s="1" t="s">
        <v>34</v>
      </c>
      <c r="E212">
        <v>17.7</v>
      </c>
      <c r="F212">
        <v>27703.5</v>
      </c>
      <c r="G212">
        <v>292</v>
      </c>
      <c r="H212">
        <v>16.100000000000001</v>
      </c>
      <c r="I212">
        <v>1.6</v>
      </c>
      <c r="J212">
        <v>0</v>
      </c>
      <c r="K212">
        <v>0</v>
      </c>
      <c r="L212">
        <v>0</v>
      </c>
      <c r="M212">
        <v>17.68</v>
      </c>
      <c r="N212">
        <v>16.100000000000001</v>
      </c>
      <c r="O212">
        <v>0</v>
      </c>
      <c r="P212">
        <v>0</v>
      </c>
      <c r="Q212">
        <v>0</v>
      </c>
      <c r="R212">
        <v>0</v>
      </c>
      <c r="S212">
        <v>23.5</v>
      </c>
      <c r="T212">
        <v>3</v>
      </c>
      <c r="U212">
        <v>4078.64</v>
      </c>
      <c r="V212">
        <v>8.65</v>
      </c>
      <c r="W212">
        <v>12.26</v>
      </c>
      <c r="X212">
        <v>12.43</v>
      </c>
      <c r="Y212">
        <v>91.83</v>
      </c>
    </row>
    <row r="213" spans="1:25" x14ac:dyDescent="0.3">
      <c r="A213" s="30"/>
      <c r="B213" s="2">
        <v>45094</v>
      </c>
      <c r="C213" s="1" t="s">
        <v>38</v>
      </c>
      <c r="D213" s="1" t="s">
        <v>34</v>
      </c>
      <c r="E213">
        <v>17.399999999999999</v>
      </c>
      <c r="F213">
        <v>27703.5</v>
      </c>
      <c r="G213">
        <v>297</v>
      </c>
      <c r="H213">
        <v>15.85</v>
      </c>
      <c r="I213">
        <v>1.5</v>
      </c>
      <c r="J213">
        <v>0</v>
      </c>
      <c r="K213">
        <v>0</v>
      </c>
      <c r="L213">
        <v>0</v>
      </c>
      <c r="M213">
        <v>17.38</v>
      </c>
      <c r="N213">
        <v>15.86</v>
      </c>
      <c r="O213">
        <v>0</v>
      </c>
      <c r="P213">
        <v>0</v>
      </c>
      <c r="Q213">
        <v>0</v>
      </c>
      <c r="R213">
        <v>0</v>
      </c>
      <c r="S213">
        <v>23.5</v>
      </c>
      <c r="T213">
        <v>3</v>
      </c>
      <c r="U213">
        <v>4011.91</v>
      </c>
      <c r="V213">
        <v>8.65</v>
      </c>
      <c r="W213">
        <v>12.3</v>
      </c>
      <c r="X213">
        <v>12.64</v>
      </c>
      <c r="Y213">
        <v>88.89</v>
      </c>
    </row>
    <row r="214" spans="1:25" x14ac:dyDescent="0.3">
      <c r="A214" s="30"/>
      <c r="B214" s="2">
        <v>45095</v>
      </c>
      <c r="C214" s="1" t="s">
        <v>38</v>
      </c>
      <c r="D214" s="1" t="s">
        <v>34</v>
      </c>
      <c r="E214">
        <v>17.100000000000001</v>
      </c>
      <c r="F214">
        <v>27703.5</v>
      </c>
      <c r="G214">
        <v>299</v>
      </c>
      <c r="H214">
        <v>15.6</v>
      </c>
      <c r="I214">
        <v>1.45</v>
      </c>
      <c r="J214">
        <v>0</v>
      </c>
      <c r="K214">
        <v>0</v>
      </c>
      <c r="L214">
        <v>0</v>
      </c>
      <c r="M214">
        <v>17.079999999999998</v>
      </c>
      <c r="N214">
        <v>15.62</v>
      </c>
      <c r="O214">
        <v>0</v>
      </c>
      <c r="P214">
        <v>0</v>
      </c>
      <c r="Q214">
        <v>0</v>
      </c>
      <c r="R214">
        <v>0</v>
      </c>
      <c r="S214">
        <v>23.5</v>
      </c>
      <c r="T214">
        <v>3</v>
      </c>
      <c r="U214">
        <v>3854.71</v>
      </c>
      <c r="V214">
        <v>8.65</v>
      </c>
      <c r="W214">
        <v>12.47</v>
      </c>
      <c r="X214">
        <v>12.72</v>
      </c>
      <c r="Y214">
        <v>92.28</v>
      </c>
    </row>
    <row r="215" spans="1:25" x14ac:dyDescent="0.3">
      <c r="A215" s="30"/>
      <c r="B215" s="2">
        <v>45096</v>
      </c>
      <c r="C215" s="1" t="s">
        <v>38</v>
      </c>
      <c r="D215" s="1" t="s">
        <v>34</v>
      </c>
      <c r="E215">
        <v>17.2</v>
      </c>
      <c r="F215">
        <v>27703.5</v>
      </c>
      <c r="G215">
        <v>292</v>
      </c>
      <c r="H215">
        <v>15.7</v>
      </c>
      <c r="I215">
        <v>1.5</v>
      </c>
      <c r="J215">
        <v>0</v>
      </c>
      <c r="K215">
        <v>0</v>
      </c>
      <c r="L215">
        <v>0</v>
      </c>
      <c r="M215">
        <v>17.21</v>
      </c>
      <c r="N215">
        <v>15.7</v>
      </c>
      <c r="O215">
        <v>0</v>
      </c>
      <c r="P215">
        <v>0</v>
      </c>
      <c r="Q215">
        <v>0</v>
      </c>
      <c r="R215">
        <v>0</v>
      </c>
      <c r="S215">
        <v>23.5</v>
      </c>
      <c r="T215">
        <v>3</v>
      </c>
      <c r="U215">
        <v>3876.49</v>
      </c>
      <c r="V215">
        <v>8.65</v>
      </c>
      <c r="W215">
        <v>12.55</v>
      </c>
      <c r="X215">
        <v>12.43</v>
      </c>
      <c r="Y215">
        <v>92.76</v>
      </c>
    </row>
    <row r="216" spans="1:25" x14ac:dyDescent="0.3">
      <c r="A216" s="30"/>
      <c r="B216" s="2">
        <v>45097</v>
      </c>
      <c r="C216" s="1" t="s">
        <v>38</v>
      </c>
      <c r="D216" s="1" t="s">
        <v>34</v>
      </c>
      <c r="E216">
        <v>17.05</v>
      </c>
      <c r="F216">
        <v>27703.5</v>
      </c>
      <c r="G216">
        <v>296</v>
      </c>
      <c r="H216">
        <v>15.6</v>
      </c>
      <c r="I216">
        <v>1.5</v>
      </c>
      <c r="J216">
        <v>0</v>
      </c>
      <c r="K216">
        <v>0</v>
      </c>
      <c r="L216">
        <v>0</v>
      </c>
      <c r="M216">
        <v>17.07</v>
      </c>
      <c r="N216">
        <v>15.59</v>
      </c>
      <c r="O216">
        <v>0</v>
      </c>
      <c r="P216">
        <v>0</v>
      </c>
      <c r="Q216">
        <v>0</v>
      </c>
      <c r="R216">
        <v>0</v>
      </c>
      <c r="S216">
        <v>23.5</v>
      </c>
      <c r="T216">
        <v>3</v>
      </c>
      <c r="U216">
        <v>3936.85</v>
      </c>
      <c r="V216">
        <v>8.65</v>
      </c>
      <c r="W216">
        <v>12.43</v>
      </c>
      <c r="X216">
        <v>12.6</v>
      </c>
      <c r="Y216">
        <v>92.72</v>
      </c>
    </row>
    <row r="217" spans="1:25" x14ac:dyDescent="0.3">
      <c r="A217" s="30"/>
      <c r="B217" s="2">
        <v>45098</v>
      </c>
      <c r="C217" s="1" t="s">
        <v>38</v>
      </c>
      <c r="D217" s="1" t="s">
        <v>34</v>
      </c>
      <c r="E217">
        <v>17.5</v>
      </c>
      <c r="F217">
        <v>27703.5</v>
      </c>
      <c r="G217">
        <v>300</v>
      </c>
      <c r="H217">
        <v>15.9</v>
      </c>
      <c r="I217">
        <v>1.6</v>
      </c>
      <c r="J217">
        <v>0</v>
      </c>
      <c r="K217">
        <v>0</v>
      </c>
      <c r="L217">
        <v>0</v>
      </c>
      <c r="M217">
        <v>17.489999999999998</v>
      </c>
      <c r="N217">
        <v>15.89</v>
      </c>
      <c r="O217">
        <v>0</v>
      </c>
      <c r="P217">
        <v>0</v>
      </c>
      <c r="Q217">
        <v>0</v>
      </c>
      <c r="R217">
        <v>0</v>
      </c>
      <c r="S217">
        <v>23.5</v>
      </c>
      <c r="T217">
        <v>3</v>
      </c>
      <c r="U217">
        <v>4020.25</v>
      </c>
      <c r="V217">
        <v>8.65</v>
      </c>
      <c r="W217">
        <v>12.51</v>
      </c>
      <c r="X217">
        <v>12.77</v>
      </c>
      <c r="Y217">
        <v>92.42</v>
      </c>
    </row>
    <row r="218" spans="1:25" x14ac:dyDescent="0.3">
      <c r="A218" s="30"/>
      <c r="B218" s="2">
        <v>45099</v>
      </c>
      <c r="C218" s="1" t="s">
        <v>38</v>
      </c>
      <c r="D218" s="1" t="s">
        <v>34</v>
      </c>
      <c r="E218">
        <v>17.45</v>
      </c>
      <c r="F218">
        <v>27703.5</v>
      </c>
      <c r="G218">
        <v>292</v>
      </c>
      <c r="H218">
        <v>16</v>
      </c>
      <c r="I218">
        <v>1.45</v>
      </c>
      <c r="J218">
        <v>0</v>
      </c>
      <c r="K218">
        <v>0</v>
      </c>
      <c r="L218">
        <v>0</v>
      </c>
      <c r="M218">
        <v>17.46</v>
      </c>
      <c r="N218">
        <v>15.99</v>
      </c>
      <c r="O218">
        <v>0</v>
      </c>
      <c r="P218">
        <v>0</v>
      </c>
      <c r="Q218">
        <v>0</v>
      </c>
      <c r="R218">
        <v>0</v>
      </c>
      <c r="S218">
        <v>23.5</v>
      </c>
      <c r="T218">
        <v>3</v>
      </c>
      <c r="U218">
        <v>4048.06</v>
      </c>
      <c r="V218">
        <v>8.65</v>
      </c>
      <c r="W218">
        <v>12.21</v>
      </c>
      <c r="X218">
        <v>12.43</v>
      </c>
      <c r="Y218">
        <v>92.43</v>
      </c>
    </row>
    <row r="219" spans="1:25" x14ac:dyDescent="0.3">
      <c r="A219" s="30"/>
      <c r="B219" s="29">
        <v>45100</v>
      </c>
      <c r="C219" s="1" t="s">
        <v>39</v>
      </c>
      <c r="D219" s="1" t="s">
        <v>34</v>
      </c>
      <c r="E219">
        <v>35.799999999999997</v>
      </c>
      <c r="F219">
        <v>27703.5</v>
      </c>
      <c r="G219">
        <v>580</v>
      </c>
      <c r="H219">
        <v>32.799999999999997</v>
      </c>
      <c r="I219">
        <v>3</v>
      </c>
      <c r="J219">
        <v>0</v>
      </c>
      <c r="K219">
        <v>0</v>
      </c>
      <c r="L219">
        <v>0</v>
      </c>
      <c r="M219">
        <v>35.799999999999997</v>
      </c>
      <c r="N219">
        <v>32.840000000000003</v>
      </c>
      <c r="O219">
        <v>0</v>
      </c>
      <c r="P219">
        <v>0</v>
      </c>
      <c r="Q219">
        <v>0</v>
      </c>
      <c r="R219">
        <v>0</v>
      </c>
      <c r="S219">
        <v>48</v>
      </c>
      <c r="T219">
        <v>4</v>
      </c>
      <c r="U219">
        <v>4072.5</v>
      </c>
      <c r="V219">
        <v>8.65</v>
      </c>
      <c r="W219">
        <v>12</v>
      </c>
      <c r="X219">
        <v>12.08</v>
      </c>
      <c r="Y219">
        <v>92.39</v>
      </c>
    </row>
    <row r="220" spans="1:25" x14ac:dyDescent="0.3">
      <c r="A220" s="30"/>
      <c r="B220" s="30"/>
      <c r="C220" s="1" t="s">
        <v>54</v>
      </c>
      <c r="D220" s="1" t="s">
        <v>34</v>
      </c>
      <c r="E220">
        <v>8.1</v>
      </c>
      <c r="F220">
        <v>27703.5</v>
      </c>
      <c r="G220">
        <v>124</v>
      </c>
      <c r="H220">
        <v>7.45</v>
      </c>
      <c r="I220">
        <v>0.7</v>
      </c>
      <c r="J220">
        <v>0</v>
      </c>
      <c r="K220">
        <v>0</v>
      </c>
      <c r="L220">
        <v>0</v>
      </c>
      <c r="M220">
        <v>8.02</v>
      </c>
      <c r="N220">
        <v>7.43</v>
      </c>
      <c r="O220">
        <v>0</v>
      </c>
      <c r="P220">
        <v>0</v>
      </c>
      <c r="Q220">
        <v>0</v>
      </c>
      <c r="R220">
        <v>0.1</v>
      </c>
      <c r="S220">
        <v>10.6</v>
      </c>
      <c r="T220">
        <v>4</v>
      </c>
      <c r="U220">
        <v>4182.1099999999997</v>
      </c>
      <c r="V220">
        <v>8.6999999999999993</v>
      </c>
      <c r="W220">
        <v>11.23</v>
      </c>
      <c r="X220">
        <v>11.7</v>
      </c>
      <c r="Y220">
        <v>85.13</v>
      </c>
    </row>
    <row r="221" spans="1:25" x14ac:dyDescent="0.3">
      <c r="A221" s="30"/>
      <c r="B221" s="29">
        <v>45101</v>
      </c>
      <c r="C221" s="1" t="s">
        <v>57</v>
      </c>
      <c r="D221" s="1" t="s">
        <v>34</v>
      </c>
      <c r="E221">
        <v>2.25</v>
      </c>
      <c r="F221">
        <v>27703.5</v>
      </c>
      <c r="G221">
        <v>14</v>
      </c>
      <c r="H221">
        <v>1.1499999999999999</v>
      </c>
      <c r="I221">
        <v>0.7</v>
      </c>
      <c r="J221">
        <v>0.4</v>
      </c>
      <c r="K221">
        <v>0</v>
      </c>
      <c r="L221">
        <v>0</v>
      </c>
      <c r="M221">
        <v>1.17</v>
      </c>
      <c r="N221">
        <v>1.17</v>
      </c>
      <c r="O221">
        <v>0</v>
      </c>
      <c r="P221">
        <v>0</v>
      </c>
      <c r="Q221">
        <v>0</v>
      </c>
      <c r="R221">
        <v>1.0900000000000001</v>
      </c>
      <c r="S221">
        <v>2</v>
      </c>
      <c r="T221">
        <v>3</v>
      </c>
      <c r="U221">
        <v>0</v>
      </c>
      <c r="V221">
        <v>8.8000000000000007</v>
      </c>
      <c r="W221">
        <v>6.5</v>
      </c>
      <c r="X221">
        <v>7</v>
      </c>
      <c r="Y221">
        <v>0</v>
      </c>
    </row>
    <row r="222" spans="1:25" x14ac:dyDescent="0.3">
      <c r="A222" s="30"/>
      <c r="B222" s="30"/>
      <c r="C222" s="1" t="s">
        <v>42</v>
      </c>
      <c r="D222" s="1" t="s">
        <v>34</v>
      </c>
      <c r="E222">
        <v>1.95</v>
      </c>
      <c r="F222">
        <v>27703.5</v>
      </c>
      <c r="G222">
        <v>16</v>
      </c>
      <c r="H222">
        <v>0.7</v>
      </c>
      <c r="I222">
        <v>0.95</v>
      </c>
      <c r="J222">
        <v>0.3</v>
      </c>
      <c r="K222">
        <v>0</v>
      </c>
      <c r="L222">
        <v>0</v>
      </c>
      <c r="M222">
        <v>0.74</v>
      </c>
      <c r="N222">
        <v>0.7</v>
      </c>
      <c r="O222">
        <v>0</v>
      </c>
      <c r="P222">
        <v>0</v>
      </c>
      <c r="Q222">
        <v>0</v>
      </c>
      <c r="R222">
        <v>1.22</v>
      </c>
      <c r="S222">
        <v>1.7</v>
      </c>
      <c r="T222">
        <v>3</v>
      </c>
      <c r="U222">
        <v>0</v>
      </c>
      <c r="V222">
        <v>8.8000000000000007</v>
      </c>
      <c r="W222">
        <v>8.82</v>
      </c>
      <c r="X222">
        <v>9.41</v>
      </c>
      <c r="Y222">
        <v>0</v>
      </c>
    </row>
    <row r="223" spans="1:25" x14ac:dyDescent="0.3">
      <c r="A223" s="30"/>
      <c r="B223" s="30"/>
      <c r="C223" s="1" t="s">
        <v>50</v>
      </c>
      <c r="D223" s="1" t="s">
        <v>34</v>
      </c>
      <c r="E223">
        <v>8.1</v>
      </c>
      <c r="F223">
        <v>27703.5</v>
      </c>
      <c r="G223">
        <v>124</v>
      </c>
      <c r="H223">
        <v>7.45</v>
      </c>
      <c r="I223">
        <v>0.7</v>
      </c>
      <c r="J223">
        <v>0</v>
      </c>
      <c r="K223">
        <v>0</v>
      </c>
      <c r="L223">
        <v>0</v>
      </c>
      <c r="M223">
        <v>8.02</v>
      </c>
      <c r="N223">
        <v>7.43</v>
      </c>
      <c r="O223">
        <v>0</v>
      </c>
      <c r="P223">
        <v>0</v>
      </c>
      <c r="Q223">
        <v>0</v>
      </c>
      <c r="R223">
        <v>0.1</v>
      </c>
      <c r="S223">
        <v>10.6</v>
      </c>
      <c r="T223">
        <v>4</v>
      </c>
      <c r="U223">
        <v>4182.1099999999997</v>
      </c>
      <c r="V223">
        <v>8.6999999999999993</v>
      </c>
      <c r="W223">
        <v>11.23</v>
      </c>
      <c r="X223">
        <v>11.7</v>
      </c>
      <c r="Y223">
        <v>85.13</v>
      </c>
    </row>
    <row r="224" spans="1:25" x14ac:dyDescent="0.3">
      <c r="A224" s="30"/>
      <c r="B224" s="2">
        <v>45102</v>
      </c>
      <c r="C224" s="1" t="s">
        <v>38</v>
      </c>
      <c r="D224" s="1" t="s">
        <v>34</v>
      </c>
      <c r="E224">
        <v>10.050000000000001</v>
      </c>
      <c r="F224">
        <v>27703.5</v>
      </c>
      <c r="G224">
        <v>173</v>
      </c>
      <c r="H224">
        <v>9.25</v>
      </c>
      <c r="I224">
        <v>0.8</v>
      </c>
      <c r="J224">
        <v>0</v>
      </c>
      <c r="K224">
        <v>0</v>
      </c>
      <c r="L224">
        <v>0</v>
      </c>
      <c r="M224">
        <v>10.029999999999999</v>
      </c>
      <c r="N224">
        <v>9.23</v>
      </c>
      <c r="O224">
        <v>0</v>
      </c>
      <c r="P224">
        <v>0</v>
      </c>
      <c r="Q224">
        <v>0</v>
      </c>
      <c r="R224">
        <v>0</v>
      </c>
      <c r="S224">
        <v>13.5</v>
      </c>
      <c r="T224">
        <v>3</v>
      </c>
      <c r="U224">
        <v>4069.48</v>
      </c>
      <c r="V224">
        <v>8.8000000000000007</v>
      </c>
      <c r="W224">
        <v>12.37</v>
      </c>
      <c r="X224">
        <v>12.81</v>
      </c>
      <c r="Y224">
        <v>92.37</v>
      </c>
    </row>
    <row r="225" spans="1:25" x14ac:dyDescent="0.3">
      <c r="A225" s="30"/>
      <c r="B225" s="2">
        <v>45103</v>
      </c>
      <c r="C225" s="1" t="s">
        <v>38</v>
      </c>
      <c r="D225" s="1" t="s">
        <v>34</v>
      </c>
      <c r="E225">
        <v>18</v>
      </c>
      <c r="F225">
        <v>27703.5</v>
      </c>
      <c r="G225">
        <v>304</v>
      </c>
      <c r="H225">
        <v>16.5</v>
      </c>
      <c r="I225">
        <v>1.5</v>
      </c>
      <c r="J225">
        <v>0</v>
      </c>
      <c r="K225">
        <v>0</v>
      </c>
      <c r="L225">
        <v>0</v>
      </c>
      <c r="M225">
        <v>18.02</v>
      </c>
      <c r="N225">
        <v>16.5</v>
      </c>
      <c r="O225">
        <v>0</v>
      </c>
      <c r="P225">
        <v>0</v>
      </c>
      <c r="Q225">
        <v>0</v>
      </c>
      <c r="R225">
        <v>0</v>
      </c>
      <c r="S225">
        <v>24</v>
      </c>
      <c r="T225">
        <v>3</v>
      </c>
      <c r="U225">
        <v>4094.28</v>
      </c>
      <c r="V225">
        <v>8.8000000000000007</v>
      </c>
      <c r="W225">
        <v>12.5</v>
      </c>
      <c r="X225">
        <v>12.67</v>
      </c>
      <c r="Y225">
        <v>92.6</v>
      </c>
    </row>
    <row r="226" spans="1:25" x14ac:dyDescent="0.3">
      <c r="A226" s="30"/>
      <c r="B226" s="2">
        <v>45104</v>
      </c>
      <c r="C226" s="1" t="s">
        <v>38</v>
      </c>
      <c r="D226" s="1" t="s">
        <v>34</v>
      </c>
      <c r="E226">
        <v>17.75</v>
      </c>
      <c r="F226">
        <v>27703.5</v>
      </c>
      <c r="G226">
        <v>321</v>
      </c>
      <c r="H226">
        <v>16.25</v>
      </c>
      <c r="I226">
        <v>1.5</v>
      </c>
      <c r="J226">
        <v>0</v>
      </c>
      <c r="K226">
        <v>0</v>
      </c>
      <c r="L226">
        <v>0</v>
      </c>
      <c r="M226">
        <v>17.77</v>
      </c>
      <c r="N226">
        <v>16.260000000000002</v>
      </c>
      <c r="O226">
        <v>0</v>
      </c>
      <c r="P226">
        <v>0</v>
      </c>
      <c r="Q226">
        <v>0</v>
      </c>
      <c r="R226">
        <v>0</v>
      </c>
      <c r="S226">
        <v>24</v>
      </c>
      <c r="T226">
        <v>3</v>
      </c>
      <c r="U226">
        <v>4028.94</v>
      </c>
      <c r="V226">
        <v>8.8000000000000007</v>
      </c>
      <c r="W226">
        <v>12.79</v>
      </c>
      <c r="X226">
        <v>13.38</v>
      </c>
      <c r="Y226">
        <v>92.58</v>
      </c>
    </row>
    <row r="227" spans="1:25" x14ac:dyDescent="0.3">
      <c r="A227" s="30"/>
      <c r="B227" s="2">
        <v>45105</v>
      </c>
      <c r="C227" s="1" t="s">
        <v>38</v>
      </c>
      <c r="D227" s="1" t="s">
        <v>34</v>
      </c>
      <c r="E227">
        <v>17.45</v>
      </c>
      <c r="F227">
        <v>27703.5</v>
      </c>
      <c r="G227">
        <v>306</v>
      </c>
      <c r="H227">
        <v>16</v>
      </c>
      <c r="I227">
        <v>1.45</v>
      </c>
      <c r="J227">
        <v>0</v>
      </c>
      <c r="K227">
        <v>0</v>
      </c>
      <c r="L227">
        <v>0</v>
      </c>
      <c r="M227">
        <v>17.45</v>
      </c>
      <c r="N227">
        <v>15.98</v>
      </c>
      <c r="O227">
        <v>0</v>
      </c>
      <c r="P227">
        <v>0</v>
      </c>
      <c r="Q227">
        <v>0</v>
      </c>
      <c r="R227">
        <v>0</v>
      </c>
      <c r="S227">
        <v>23.5</v>
      </c>
      <c r="T227">
        <v>3</v>
      </c>
      <c r="U227">
        <v>4045.28</v>
      </c>
      <c r="V227">
        <v>8.8000000000000007</v>
      </c>
      <c r="W227">
        <v>12.72</v>
      </c>
      <c r="X227">
        <v>13.02</v>
      </c>
      <c r="Y227">
        <v>92.9</v>
      </c>
    </row>
    <row r="228" spans="1:25" x14ac:dyDescent="0.3">
      <c r="A228" s="30"/>
      <c r="B228" s="2">
        <v>45106</v>
      </c>
      <c r="C228" s="1" t="s">
        <v>38</v>
      </c>
      <c r="D228" s="1" t="s">
        <v>34</v>
      </c>
      <c r="E228">
        <v>17.600000000000001</v>
      </c>
      <c r="F228">
        <v>27703.5</v>
      </c>
      <c r="G228">
        <v>302</v>
      </c>
      <c r="H228">
        <v>16</v>
      </c>
      <c r="I228">
        <v>1.55</v>
      </c>
      <c r="J228">
        <v>0</v>
      </c>
      <c r="K228">
        <v>0</v>
      </c>
      <c r="L228">
        <v>0</v>
      </c>
      <c r="M228">
        <v>17.579999999999998</v>
      </c>
      <c r="N228">
        <v>16.02</v>
      </c>
      <c r="O228">
        <v>0</v>
      </c>
      <c r="P228">
        <v>0</v>
      </c>
      <c r="Q228">
        <v>0</v>
      </c>
      <c r="R228">
        <v>0</v>
      </c>
      <c r="S228">
        <v>23.5</v>
      </c>
      <c r="T228">
        <v>3</v>
      </c>
      <c r="U228">
        <v>4056.4</v>
      </c>
      <c r="V228">
        <v>8.8000000000000007</v>
      </c>
      <c r="W228">
        <v>12.81</v>
      </c>
      <c r="X228">
        <v>12.85</v>
      </c>
      <c r="Y228">
        <v>92.17</v>
      </c>
    </row>
    <row r="229" spans="1:25" x14ac:dyDescent="0.3">
      <c r="A229" s="30"/>
      <c r="B229" s="2">
        <v>45107</v>
      </c>
      <c r="C229" s="1" t="s">
        <v>38</v>
      </c>
      <c r="D229" s="1" t="s">
        <v>34</v>
      </c>
      <c r="E229">
        <v>18.05</v>
      </c>
      <c r="F229">
        <v>27703.5</v>
      </c>
      <c r="G229">
        <v>306</v>
      </c>
      <c r="H229">
        <v>16.55</v>
      </c>
      <c r="I229">
        <v>1.5</v>
      </c>
      <c r="J229">
        <v>0</v>
      </c>
      <c r="K229">
        <v>0</v>
      </c>
      <c r="L229">
        <v>0</v>
      </c>
      <c r="M229">
        <v>18.04</v>
      </c>
      <c r="N229">
        <v>16.54</v>
      </c>
      <c r="O229">
        <v>0</v>
      </c>
      <c r="P229">
        <v>0</v>
      </c>
      <c r="Q229">
        <v>0</v>
      </c>
      <c r="R229">
        <v>0</v>
      </c>
      <c r="S229">
        <v>24</v>
      </c>
      <c r="T229">
        <v>3</v>
      </c>
      <c r="U229">
        <v>4105.17</v>
      </c>
      <c r="V229">
        <v>8.9</v>
      </c>
      <c r="W229">
        <v>12.71</v>
      </c>
      <c r="X229">
        <v>12.75</v>
      </c>
      <c r="Y229">
        <v>92.4</v>
      </c>
    </row>
    <row r="230" spans="1:25" x14ac:dyDescent="0.3">
      <c r="A230" s="30"/>
      <c r="B230" s="2">
        <v>45108</v>
      </c>
      <c r="C230" s="1" t="s">
        <v>50</v>
      </c>
      <c r="D230" s="1" t="s">
        <v>34</v>
      </c>
      <c r="E230">
        <v>18.3</v>
      </c>
      <c r="F230">
        <v>27703.5</v>
      </c>
      <c r="G230">
        <v>311</v>
      </c>
      <c r="H230">
        <v>16.8</v>
      </c>
      <c r="I230">
        <v>1.5</v>
      </c>
      <c r="J230">
        <v>0</v>
      </c>
      <c r="K230">
        <v>0</v>
      </c>
      <c r="L230">
        <v>0</v>
      </c>
      <c r="M230">
        <v>18.190000000000001</v>
      </c>
      <c r="N230">
        <v>16.78</v>
      </c>
      <c r="O230">
        <v>0</v>
      </c>
      <c r="P230">
        <v>0</v>
      </c>
      <c r="Q230">
        <v>0</v>
      </c>
      <c r="R230">
        <v>0.11</v>
      </c>
      <c r="S230">
        <v>24</v>
      </c>
      <c r="T230">
        <v>3</v>
      </c>
      <c r="U230">
        <v>4170.51</v>
      </c>
      <c r="V230">
        <v>8.9</v>
      </c>
      <c r="W230">
        <v>12.75</v>
      </c>
      <c r="X230">
        <v>12.96</v>
      </c>
      <c r="Y230">
        <v>92.78</v>
      </c>
    </row>
    <row r="231" spans="1:25" x14ac:dyDescent="0.3">
      <c r="A231" s="30"/>
      <c r="B231" s="2">
        <v>45109</v>
      </c>
      <c r="C231" s="1" t="s">
        <v>55</v>
      </c>
      <c r="D231" s="1" t="s">
        <v>34</v>
      </c>
      <c r="E231">
        <v>2.7</v>
      </c>
      <c r="F231">
        <v>27703.5</v>
      </c>
      <c r="G231">
        <v>9</v>
      </c>
      <c r="H231">
        <v>0.25</v>
      </c>
      <c r="I231">
        <v>1.7</v>
      </c>
      <c r="J231">
        <v>0.75</v>
      </c>
      <c r="K231">
        <v>0</v>
      </c>
      <c r="L231">
        <v>0</v>
      </c>
      <c r="M231">
        <v>0.23</v>
      </c>
      <c r="N231">
        <v>0.23</v>
      </c>
      <c r="O231">
        <v>0</v>
      </c>
      <c r="P231">
        <v>0</v>
      </c>
      <c r="Q231">
        <v>0</v>
      </c>
      <c r="R231">
        <v>2.4700000000000002</v>
      </c>
      <c r="S231">
        <v>1.5</v>
      </c>
      <c r="T231">
        <v>3</v>
      </c>
      <c r="U231">
        <v>0</v>
      </c>
      <c r="V231">
        <v>8.9</v>
      </c>
      <c r="W231">
        <v>6</v>
      </c>
      <c r="X231">
        <v>6</v>
      </c>
      <c r="Y231">
        <v>0</v>
      </c>
    </row>
    <row r="232" spans="1:25" x14ac:dyDescent="0.3">
      <c r="A232" s="30"/>
      <c r="B232" s="2">
        <v>45110</v>
      </c>
      <c r="C232" s="1" t="s">
        <v>27</v>
      </c>
      <c r="D232" s="1" t="s">
        <v>34</v>
      </c>
      <c r="E232">
        <v>2.2999999999999998</v>
      </c>
      <c r="F232">
        <v>27703.5</v>
      </c>
      <c r="G232">
        <v>0</v>
      </c>
      <c r="H232">
        <v>0</v>
      </c>
      <c r="I232">
        <v>1.55</v>
      </c>
      <c r="J232">
        <v>0.8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2.31</v>
      </c>
      <c r="S232">
        <v>0</v>
      </c>
      <c r="T232">
        <v>2</v>
      </c>
      <c r="U232">
        <v>0</v>
      </c>
      <c r="V232">
        <v>8.9</v>
      </c>
      <c r="X232">
        <v>0</v>
      </c>
      <c r="Y232">
        <v>0</v>
      </c>
    </row>
    <row r="233" spans="1:25" x14ac:dyDescent="0.3">
      <c r="A233" s="30"/>
      <c r="B233" s="2">
        <v>45111</v>
      </c>
      <c r="C233" s="1" t="s">
        <v>27</v>
      </c>
      <c r="D233" s="1" t="s">
        <v>34</v>
      </c>
      <c r="E233">
        <v>2.4</v>
      </c>
      <c r="F233">
        <v>27703.5</v>
      </c>
      <c r="G233">
        <v>0</v>
      </c>
      <c r="H233">
        <v>0</v>
      </c>
      <c r="I233">
        <v>1.6</v>
      </c>
      <c r="J233">
        <v>0.8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2.39</v>
      </c>
      <c r="S233">
        <v>0</v>
      </c>
      <c r="T233">
        <v>2</v>
      </c>
      <c r="U233">
        <v>0</v>
      </c>
      <c r="V233">
        <v>8.9</v>
      </c>
      <c r="X233">
        <v>0</v>
      </c>
      <c r="Y233">
        <v>0</v>
      </c>
    </row>
    <row r="234" spans="1:25" x14ac:dyDescent="0.3">
      <c r="A234" s="30"/>
      <c r="B234" s="2">
        <v>45112</v>
      </c>
      <c r="C234" s="1" t="s">
        <v>27</v>
      </c>
      <c r="D234" s="1" t="s">
        <v>34</v>
      </c>
      <c r="E234">
        <v>2.35</v>
      </c>
      <c r="F234">
        <v>27703.5</v>
      </c>
      <c r="G234">
        <v>0</v>
      </c>
      <c r="H234">
        <v>0</v>
      </c>
      <c r="I234">
        <v>1.6</v>
      </c>
      <c r="J234">
        <v>0.75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2.35</v>
      </c>
      <c r="S234">
        <v>0</v>
      </c>
      <c r="T234">
        <v>2</v>
      </c>
      <c r="U234">
        <v>0</v>
      </c>
      <c r="V234">
        <v>8.9</v>
      </c>
      <c r="X234">
        <v>0</v>
      </c>
      <c r="Y234">
        <v>0</v>
      </c>
    </row>
    <row r="235" spans="1:25" x14ac:dyDescent="0.3">
      <c r="A235" s="30"/>
      <c r="B235" s="29">
        <v>45113</v>
      </c>
      <c r="C235" s="1" t="s">
        <v>29</v>
      </c>
      <c r="D235" s="1" t="s">
        <v>34</v>
      </c>
      <c r="E235">
        <v>0.15</v>
      </c>
      <c r="F235">
        <v>27703.5</v>
      </c>
      <c r="G235">
        <v>0</v>
      </c>
      <c r="H235">
        <v>0</v>
      </c>
      <c r="I235">
        <v>0.1</v>
      </c>
      <c r="J235">
        <v>0.05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0.15</v>
      </c>
      <c r="S235">
        <v>0</v>
      </c>
      <c r="T235">
        <v>1</v>
      </c>
      <c r="U235">
        <v>0</v>
      </c>
      <c r="V235">
        <v>8.9</v>
      </c>
      <c r="W235">
        <v>0</v>
      </c>
      <c r="Y235">
        <v>0</v>
      </c>
    </row>
    <row r="236" spans="1:25" x14ac:dyDescent="0.3">
      <c r="A236" s="30"/>
      <c r="B236" s="30"/>
      <c r="C236" s="1" t="s">
        <v>28</v>
      </c>
      <c r="D236" s="1" t="s">
        <v>34</v>
      </c>
      <c r="E236">
        <v>2.5499999999999998</v>
      </c>
      <c r="F236">
        <v>27703.5</v>
      </c>
      <c r="G236">
        <v>0</v>
      </c>
      <c r="H236">
        <v>0.3</v>
      </c>
      <c r="I236">
        <v>1.55</v>
      </c>
      <c r="J236">
        <v>0.7</v>
      </c>
      <c r="K236">
        <v>0</v>
      </c>
      <c r="L236">
        <v>0</v>
      </c>
      <c r="M236">
        <v>0.3</v>
      </c>
      <c r="N236">
        <v>0.3</v>
      </c>
      <c r="O236">
        <v>0</v>
      </c>
      <c r="P236">
        <v>0</v>
      </c>
      <c r="Q236">
        <v>0</v>
      </c>
      <c r="R236">
        <v>2.2599999999999998</v>
      </c>
      <c r="S236">
        <v>0</v>
      </c>
      <c r="T236">
        <v>1</v>
      </c>
      <c r="U236">
        <v>0</v>
      </c>
      <c r="V236">
        <v>8.9</v>
      </c>
      <c r="W236">
        <v>0</v>
      </c>
      <c r="X236">
        <v>0</v>
      </c>
      <c r="Y236">
        <v>0</v>
      </c>
    </row>
    <row r="237" spans="1:25" x14ac:dyDescent="0.3">
      <c r="A237" s="30"/>
      <c r="B237" s="2">
        <v>45114</v>
      </c>
      <c r="C237" s="1" t="s">
        <v>30</v>
      </c>
      <c r="D237" s="1" t="s">
        <v>34</v>
      </c>
      <c r="E237">
        <v>2.35</v>
      </c>
      <c r="F237">
        <v>26780.5</v>
      </c>
      <c r="G237">
        <v>0</v>
      </c>
      <c r="H237">
        <v>0</v>
      </c>
      <c r="I237">
        <v>1.55</v>
      </c>
      <c r="J237">
        <v>0.8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2.35</v>
      </c>
      <c r="S237">
        <v>0</v>
      </c>
      <c r="T237">
        <v>1</v>
      </c>
      <c r="U237">
        <v>0</v>
      </c>
      <c r="V237">
        <v>8.65</v>
      </c>
      <c r="W237">
        <v>0</v>
      </c>
      <c r="Y237">
        <v>0</v>
      </c>
    </row>
    <row r="238" spans="1:25" x14ac:dyDescent="0.3">
      <c r="A238" s="30"/>
      <c r="B238" s="2">
        <v>45115</v>
      </c>
      <c r="C238" s="1" t="s">
        <v>31</v>
      </c>
      <c r="D238" s="1" t="s">
        <v>34</v>
      </c>
      <c r="E238">
        <v>2.2999999999999998</v>
      </c>
      <c r="F238">
        <v>26570.5</v>
      </c>
      <c r="G238">
        <v>0</v>
      </c>
      <c r="H238">
        <v>0</v>
      </c>
      <c r="I238">
        <v>1.55</v>
      </c>
      <c r="J238">
        <v>0.8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2.3199999999999998</v>
      </c>
      <c r="S238">
        <v>0</v>
      </c>
      <c r="T238">
        <v>1</v>
      </c>
      <c r="U238">
        <v>0</v>
      </c>
      <c r="V238">
        <v>8.65</v>
      </c>
      <c r="W238">
        <v>0</v>
      </c>
      <c r="Y238">
        <v>0</v>
      </c>
    </row>
    <row r="239" spans="1:25" x14ac:dyDescent="0.3">
      <c r="A239" s="30"/>
      <c r="B239" s="2">
        <v>45116</v>
      </c>
      <c r="C239" s="1" t="s">
        <v>31</v>
      </c>
      <c r="D239" s="1" t="s">
        <v>34</v>
      </c>
      <c r="E239">
        <v>2.35</v>
      </c>
      <c r="F239">
        <v>25250.5</v>
      </c>
      <c r="G239">
        <v>0</v>
      </c>
      <c r="H239">
        <v>0</v>
      </c>
      <c r="I239">
        <v>1.55</v>
      </c>
      <c r="J239">
        <v>0.8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2.33</v>
      </c>
      <c r="S239">
        <v>0</v>
      </c>
      <c r="T239">
        <v>1</v>
      </c>
      <c r="U239">
        <v>0</v>
      </c>
      <c r="V239">
        <v>8.65</v>
      </c>
      <c r="W239">
        <v>0</v>
      </c>
      <c r="Y239">
        <v>0</v>
      </c>
    </row>
    <row r="240" spans="1:25" x14ac:dyDescent="0.3">
      <c r="A240" s="30"/>
      <c r="B240" s="2">
        <v>45117</v>
      </c>
      <c r="C240" s="1" t="s">
        <v>31</v>
      </c>
      <c r="D240" s="1" t="s">
        <v>34</v>
      </c>
      <c r="E240">
        <v>2.2999999999999998</v>
      </c>
      <c r="F240">
        <v>22350.5</v>
      </c>
      <c r="G240">
        <v>0</v>
      </c>
      <c r="H240">
        <v>0</v>
      </c>
      <c r="I240">
        <v>1.55</v>
      </c>
      <c r="J240">
        <v>0.75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2.31</v>
      </c>
      <c r="S240">
        <v>0</v>
      </c>
      <c r="T240">
        <v>1</v>
      </c>
      <c r="U240">
        <v>0</v>
      </c>
      <c r="V240">
        <v>7.75</v>
      </c>
      <c r="W240">
        <v>0</v>
      </c>
      <c r="Y240">
        <v>0</v>
      </c>
    </row>
    <row r="241" spans="1:25" x14ac:dyDescent="0.3">
      <c r="A241" s="30"/>
      <c r="B241" s="2">
        <v>45118</v>
      </c>
      <c r="C241" s="1" t="s">
        <v>31</v>
      </c>
      <c r="D241" s="1" t="s">
        <v>34</v>
      </c>
      <c r="E241">
        <v>2.35</v>
      </c>
      <c r="F241">
        <v>20017.5</v>
      </c>
      <c r="G241">
        <v>0</v>
      </c>
      <c r="H241">
        <v>0</v>
      </c>
      <c r="I241">
        <v>1.55</v>
      </c>
      <c r="J241">
        <v>0.8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2.33</v>
      </c>
      <c r="S241">
        <v>0</v>
      </c>
      <c r="T241">
        <v>1</v>
      </c>
      <c r="U241">
        <v>0</v>
      </c>
      <c r="V241">
        <v>7.15</v>
      </c>
      <c r="W241">
        <v>0</v>
      </c>
      <c r="Y241">
        <v>0</v>
      </c>
    </row>
    <row r="242" spans="1:25" x14ac:dyDescent="0.3">
      <c r="A242" s="30"/>
      <c r="B242" s="2">
        <v>45119</v>
      </c>
      <c r="C242" s="1" t="s">
        <v>31</v>
      </c>
      <c r="D242" s="1" t="s">
        <v>34</v>
      </c>
      <c r="E242">
        <v>2.2999999999999998</v>
      </c>
      <c r="F242">
        <v>17560</v>
      </c>
      <c r="G242">
        <v>0</v>
      </c>
      <c r="H242">
        <v>0</v>
      </c>
      <c r="I242">
        <v>1.55</v>
      </c>
      <c r="J242">
        <v>0.8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2.3199999999999998</v>
      </c>
      <c r="S242">
        <v>0</v>
      </c>
      <c r="T242">
        <v>1</v>
      </c>
      <c r="U242">
        <v>0</v>
      </c>
      <c r="V242">
        <v>6.74</v>
      </c>
      <c r="W242">
        <v>0</v>
      </c>
      <c r="Y242">
        <v>0</v>
      </c>
    </row>
    <row r="243" spans="1:25" x14ac:dyDescent="0.3">
      <c r="A243" s="30"/>
      <c r="B243" s="2">
        <v>45120</v>
      </c>
      <c r="C243" s="1" t="s">
        <v>31</v>
      </c>
      <c r="D243" s="1" t="s">
        <v>34</v>
      </c>
      <c r="E243">
        <v>2.2999999999999998</v>
      </c>
      <c r="F243">
        <v>15101.5</v>
      </c>
      <c r="G243">
        <v>0</v>
      </c>
      <c r="H243">
        <v>0</v>
      </c>
      <c r="I243">
        <v>1.55</v>
      </c>
      <c r="J243">
        <v>0.8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2.31</v>
      </c>
      <c r="S243">
        <v>0</v>
      </c>
      <c r="T243">
        <v>1</v>
      </c>
      <c r="U243">
        <v>0</v>
      </c>
      <c r="V243">
        <v>6.2</v>
      </c>
      <c r="W243">
        <v>0</v>
      </c>
      <c r="Y243">
        <v>0</v>
      </c>
    </row>
    <row r="244" spans="1:25" x14ac:dyDescent="0.3">
      <c r="A244" s="30"/>
      <c r="B244" s="2">
        <v>45121</v>
      </c>
      <c r="C244" s="1" t="s">
        <v>31</v>
      </c>
      <c r="D244" s="1" t="s">
        <v>34</v>
      </c>
      <c r="E244">
        <v>2.2999999999999998</v>
      </c>
      <c r="F244">
        <v>13010.1</v>
      </c>
      <c r="G244">
        <v>0</v>
      </c>
      <c r="H244">
        <v>0</v>
      </c>
      <c r="I244">
        <v>1.55</v>
      </c>
      <c r="J244">
        <v>0.75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2.3199999999999998</v>
      </c>
      <c r="S244">
        <v>0</v>
      </c>
      <c r="T244">
        <v>1</v>
      </c>
      <c r="U244">
        <v>0</v>
      </c>
      <c r="V244">
        <v>5.9</v>
      </c>
      <c r="W244">
        <v>0</v>
      </c>
      <c r="Y244">
        <v>0</v>
      </c>
    </row>
    <row r="245" spans="1:25" x14ac:dyDescent="0.3">
      <c r="A245" s="30"/>
      <c r="B245" s="2">
        <v>45122</v>
      </c>
      <c r="C245" s="1" t="s">
        <v>31</v>
      </c>
      <c r="D245" s="1" t="s">
        <v>34</v>
      </c>
      <c r="E245">
        <v>2.2000000000000002</v>
      </c>
      <c r="F245">
        <v>13231.5</v>
      </c>
      <c r="G245">
        <v>0</v>
      </c>
      <c r="H245">
        <v>0.3</v>
      </c>
      <c r="I245">
        <v>1.4</v>
      </c>
      <c r="J245">
        <v>0.5</v>
      </c>
      <c r="K245">
        <v>0</v>
      </c>
      <c r="L245">
        <v>0</v>
      </c>
      <c r="M245">
        <v>0.3</v>
      </c>
      <c r="N245">
        <v>0.3</v>
      </c>
      <c r="O245">
        <v>0</v>
      </c>
      <c r="P245">
        <v>0</v>
      </c>
      <c r="Q245">
        <v>0</v>
      </c>
      <c r="R245">
        <v>1.92</v>
      </c>
      <c r="S245">
        <v>0</v>
      </c>
      <c r="T245">
        <v>1</v>
      </c>
      <c r="U245">
        <v>0</v>
      </c>
      <c r="V245">
        <v>5.9</v>
      </c>
      <c r="W245">
        <v>0</v>
      </c>
      <c r="Y245">
        <v>0</v>
      </c>
    </row>
    <row r="246" spans="1:25" x14ac:dyDescent="0.3">
      <c r="A246" s="30"/>
      <c r="B246" s="2">
        <v>45123</v>
      </c>
      <c r="C246" s="1" t="s">
        <v>31</v>
      </c>
      <c r="D246" s="1" t="s">
        <v>34</v>
      </c>
      <c r="E246">
        <v>2.5499999999999998</v>
      </c>
      <c r="F246">
        <v>12714.5</v>
      </c>
      <c r="G246">
        <v>0</v>
      </c>
      <c r="H246">
        <v>0</v>
      </c>
      <c r="I246">
        <v>1.9</v>
      </c>
      <c r="J246">
        <v>0.65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2.5499999999999998</v>
      </c>
      <c r="S246">
        <v>0</v>
      </c>
      <c r="T246">
        <v>1</v>
      </c>
      <c r="U246">
        <v>0</v>
      </c>
      <c r="V246">
        <v>6.0750000000000002</v>
      </c>
      <c r="W246">
        <v>0</v>
      </c>
      <c r="Y246">
        <v>0</v>
      </c>
    </row>
    <row r="247" spans="1:25" x14ac:dyDescent="0.3">
      <c r="A247" s="30"/>
      <c r="B247" s="2">
        <v>45124</v>
      </c>
      <c r="C247" s="1" t="s">
        <v>31</v>
      </c>
      <c r="D247" s="1" t="s">
        <v>34</v>
      </c>
      <c r="E247">
        <v>2.2999999999999998</v>
      </c>
      <c r="F247">
        <v>11545.5</v>
      </c>
      <c r="G247">
        <v>0</v>
      </c>
      <c r="H247">
        <v>0</v>
      </c>
      <c r="I247">
        <v>1.55</v>
      </c>
      <c r="J247">
        <v>0.75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2.31</v>
      </c>
      <c r="S247">
        <v>0</v>
      </c>
      <c r="T247">
        <v>1</v>
      </c>
      <c r="U247">
        <v>0</v>
      </c>
      <c r="V247">
        <v>5.8250000000000002</v>
      </c>
      <c r="W247">
        <v>0</v>
      </c>
      <c r="Y247">
        <v>0</v>
      </c>
    </row>
    <row r="248" spans="1:25" x14ac:dyDescent="0.3">
      <c r="A248" s="30"/>
      <c r="B248" s="2">
        <v>45125</v>
      </c>
      <c r="C248" s="1" t="s">
        <v>31</v>
      </c>
      <c r="D248" s="1" t="s">
        <v>34</v>
      </c>
      <c r="E248">
        <v>2.75</v>
      </c>
      <c r="F248">
        <v>8160.53</v>
      </c>
      <c r="G248">
        <v>0</v>
      </c>
      <c r="H248">
        <v>0</v>
      </c>
      <c r="I248">
        <v>1.95</v>
      </c>
      <c r="J248">
        <v>0.75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2.73</v>
      </c>
      <c r="S248">
        <v>0</v>
      </c>
      <c r="T248">
        <v>1</v>
      </c>
      <c r="U248">
        <v>0</v>
      </c>
      <c r="V248">
        <v>5.8250000000000002</v>
      </c>
      <c r="W248">
        <v>0</v>
      </c>
      <c r="Y248">
        <v>0</v>
      </c>
    </row>
    <row r="249" spans="1:25" x14ac:dyDescent="0.3">
      <c r="A249" s="30"/>
      <c r="B249" s="2">
        <v>45126</v>
      </c>
      <c r="C249" s="1" t="s">
        <v>31</v>
      </c>
      <c r="D249" s="1" t="s">
        <v>34</v>
      </c>
      <c r="E249">
        <v>2.85</v>
      </c>
      <c r="F249">
        <v>5752.53</v>
      </c>
      <c r="G249">
        <v>0</v>
      </c>
      <c r="H249">
        <v>0</v>
      </c>
      <c r="I249">
        <v>2.1</v>
      </c>
      <c r="J249">
        <v>0.8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2.86</v>
      </c>
      <c r="S249">
        <v>0</v>
      </c>
      <c r="T249">
        <v>1</v>
      </c>
      <c r="U249">
        <v>0</v>
      </c>
      <c r="V249">
        <v>5.8250000000000002</v>
      </c>
      <c r="W249">
        <v>0</v>
      </c>
      <c r="Y249">
        <v>0</v>
      </c>
    </row>
    <row r="250" spans="1:25" x14ac:dyDescent="0.3">
      <c r="A250" s="30"/>
      <c r="B250" s="2">
        <v>45127</v>
      </c>
      <c r="C250" s="1" t="s">
        <v>31</v>
      </c>
      <c r="D250" s="1" t="s">
        <v>34</v>
      </c>
      <c r="E250">
        <v>3</v>
      </c>
      <c r="F250">
        <v>3315</v>
      </c>
      <c r="G250">
        <v>0</v>
      </c>
      <c r="H250">
        <v>0</v>
      </c>
      <c r="I250">
        <v>2.25</v>
      </c>
      <c r="J250">
        <v>0.75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3</v>
      </c>
      <c r="S250">
        <v>0</v>
      </c>
      <c r="T250">
        <v>1</v>
      </c>
      <c r="U250">
        <v>0</v>
      </c>
      <c r="V250">
        <v>5.2</v>
      </c>
      <c r="W250">
        <v>0</v>
      </c>
      <c r="Y250">
        <v>0</v>
      </c>
    </row>
    <row r="251" spans="1:25" x14ac:dyDescent="0.3">
      <c r="A251" s="30"/>
      <c r="B251" s="2">
        <v>45128</v>
      </c>
      <c r="C251" s="1" t="s">
        <v>31</v>
      </c>
      <c r="D251" s="1" t="s">
        <v>34</v>
      </c>
      <c r="E251">
        <v>2.75</v>
      </c>
      <c r="F251">
        <v>2350</v>
      </c>
      <c r="G251">
        <v>0</v>
      </c>
      <c r="H251">
        <v>0</v>
      </c>
      <c r="I251">
        <v>1.95</v>
      </c>
      <c r="J251">
        <v>0.75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2.73</v>
      </c>
      <c r="S251">
        <v>0</v>
      </c>
      <c r="T251">
        <v>1</v>
      </c>
      <c r="U251">
        <v>0</v>
      </c>
      <c r="V251">
        <v>5.2</v>
      </c>
      <c r="W251">
        <v>0</v>
      </c>
      <c r="Y251">
        <v>0</v>
      </c>
    </row>
    <row r="252" spans="1:25" x14ac:dyDescent="0.3">
      <c r="A252" s="30"/>
      <c r="B252" s="2">
        <v>45129</v>
      </c>
      <c r="C252" s="1" t="s">
        <v>31</v>
      </c>
      <c r="D252" s="1" t="s">
        <v>34</v>
      </c>
      <c r="E252">
        <v>2.7</v>
      </c>
      <c r="F252">
        <v>1934</v>
      </c>
      <c r="G252">
        <v>0</v>
      </c>
      <c r="H252">
        <v>0</v>
      </c>
      <c r="I252">
        <v>1.9</v>
      </c>
      <c r="J252">
        <v>0.8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2.69</v>
      </c>
      <c r="S252">
        <v>0</v>
      </c>
      <c r="T252">
        <v>1</v>
      </c>
      <c r="U252">
        <v>0</v>
      </c>
      <c r="V252">
        <v>5.4050000000000002</v>
      </c>
      <c r="W252">
        <v>0</v>
      </c>
      <c r="Y252">
        <v>0</v>
      </c>
    </row>
    <row r="253" spans="1:25" x14ac:dyDescent="0.3">
      <c r="A253" s="30"/>
      <c r="B253" s="2">
        <v>45130</v>
      </c>
      <c r="C253" s="1" t="s">
        <v>31</v>
      </c>
      <c r="D253" s="1" t="s">
        <v>34</v>
      </c>
      <c r="E253">
        <v>2.2999999999999998</v>
      </c>
      <c r="F253">
        <v>1934</v>
      </c>
      <c r="G253">
        <v>0</v>
      </c>
      <c r="H253">
        <v>0</v>
      </c>
      <c r="I253">
        <v>1.55</v>
      </c>
      <c r="J253">
        <v>0.75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2.3199999999999998</v>
      </c>
      <c r="S253">
        <v>0</v>
      </c>
      <c r="T253">
        <v>1</v>
      </c>
      <c r="U253">
        <v>0</v>
      </c>
      <c r="V253">
        <v>5.4050000000000002</v>
      </c>
      <c r="W253">
        <v>0</v>
      </c>
      <c r="Y253">
        <v>0</v>
      </c>
    </row>
    <row r="254" spans="1:25" x14ac:dyDescent="0.3">
      <c r="A254" s="30"/>
      <c r="B254" s="2">
        <v>45131</v>
      </c>
      <c r="C254" s="1" t="s">
        <v>51</v>
      </c>
      <c r="D254" s="1" t="s">
        <v>34</v>
      </c>
      <c r="E254">
        <v>2.2999999999999998</v>
      </c>
      <c r="F254">
        <v>0</v>
      </c>
      <c r="G254">
        <v>0</v>
      </c>
      <c r="H254">
        <v>0</v>
      </c>
      <c r="I254">
        <v>1.55</v>
      </c>
      <c r="J254">
        <v>0.8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2.31</v>
      </c>
      <c r="S254">
        <v>0</v>
      </c>
      <c r="T254">
        <v>1</v>
      </c>
      <c r="U254">
        <v>0</v>
      </c>
      <c r="V254">
        <v>4.67</v>
      </c>
      <c r="W254">
        <v>0</v>
      </c>
      <c r="Y254">
        <v>0</v>
      </c>
    </row>
    <row r="255" spans="1:25" x14ac:dyDescent="0.3">
      <c r="A255" s="30">
        <v>59</v>
      </c>
      <c r="B255" s="29">
        <v>45131</v>
      </c>
      <c r="C255" s="1" t="s">
        <v>41</v>
      </c>
      <c r="D255" s="1" t="s">
        <v>26</v>
      </c>
      <c r="E255">
        <v>0.2</v>
      </c>
      <c r="F255">
        <v>0</v>
      </c>
      <c r="G255">
        <v>0</v>
      </c>
      <c r="H255">
        <v>0</v>
      </c>
      <c r="I255">
        <v>0.15</v>
      </c>
      <c r="J255">
        <v>0.05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0.18</v>
      </c>
      <c r="S255">
        <v>0</v>
      </c>
      <c r="T255">
        <v>1</v>
      </c>
      <c r="U255">
        <v>0</v>
      </c>
      <c r="V255">
        <v>5.0350000000000001</v>
      </c>
      <c r="W255">
        <v>0</v>
      </c>
      <c r="Y255">
        <v>0</v>
      </c>
    </row>
    <row r="256" spans="1:25" x14ac:dyDescent="0.3">
      <c r="A256" s="30"/>
      <c r="B256" s="30"/>
      <c r="C256" s="1" t="s">
        <v>40</v>
      </c>
      <c r="D256" s="1" t="s">
        <v>26</v>
      </c>
      <c r="E256">
        <v>3.05</v>
      </c>
      <c r="F256">
        <v>0</v>
      </c>
      <c r="G256">
        <v>61</v>
      </c>
      <c r="H256">
        <v>2.5499999999999998</v>
      </c>
      <c r="I256">
        <v>0.5</v>
      </c>
      <c r="J256">
        <v>0</v>
      </c>
      <c r="K256">
        <v>0</v>
      </c>
      <c r="L256">
        <v>0</v>
      </c>
      <c r="M256">
        <v>3.06</v>
      </c>
      <c r="N256">
        <v>2.5299999999999998</v>
      </c>
      <c r="O256">
        <v>0</v>
      </c>
      <c r="P256">
        <v>0</v>
      </c>
      <c r="Q256">
        <v>0</v>
      </c>
      <c r="R256">
        <v>0</v>
      </c>
      <c r="S256">
        <v>5.5</v>
      </c>
      <c r="T256">
        <v>3</v>
      </c>
      <c r="U256">
        <v>2655.64</v>
      </c>
      <c r="V256">
        <v>5.0350000000000001</v>
      </c>
      <c r="W256">
        <v>11.45</v>
      </c>
      <c r="X256">
        <v>11.09</v>
      </c>
      <c r="Y256">
        <v>77.94</v>
      </c>
    </row>
    <row r="257" spans="1:25" x14ac:dyDescent="0.3">
      <c r="A257" s="30"/>
      <c r="B257" s="30"/>
      <c r="C257" s="1" t="s">
        <v>35</v>
      </c>
      <c r="D257" s="1" t="s">
        <v>26</v>
      </c>
      <c r="E257">
        <v>0.45</v>
      </c>
      <c r="F257">
        <v>0</v>
      </c>
      <c r="G257">
        <v>0</v>
      </c>
      <c r="H257">
        <v>0.3</v>
      </c>
      <c r="I257">
        <v>0.1</v>
      </c>
      <c r="J257">
        <v>0</v>
      </c>
      <c r="K257">
        <v>0</v>
      </c>
      <c r="L257">
        <v>0</v>
      </c>
      <c r="M257">
        <v>0.28999999999999998</v>
      </c>
      <c r="N257">
        <v>0.28999999999999998</v>
      </c>
      <c r="O257">
        <v>0</v>
      </c>
      <c r="P257">
        <v>0</v>
      </c>
      <c r="Q257">
        <v>0</v>
      </c>
      <c r="R257">
        <v>0.14000000000000001</v>
      </c>
      <c r="S257">
        <v>0</v>
      </c>
      <c r="T257">
        <v>3</v>
      </c>
      <c r="U257">
        <v>0</v>
      </c>
      <c r="V257">
        <v>5.0350000000000001</v>
      </c>
      <c r="X257">
        <v>0</v>
      </c>
      <c r="Y257">
        <v>0</v>
      </c>
    </row>
    <row r="258" spans="1:25" x14ac:dyDescent="0.3">
      <c r="A258" s="30"/>
      <c r="B258" s="29">
        <v>45132</v>
      </c>
      <c r="C258" s="1" t="s">
        <v>28</v>
      </c>
      <c r="D258" s="1" t="s">
        <v>26</v>
      </c>
      <c r="E258">
        <v>0.85</v>
      </c>
      <c r="F258">
        <v>0</v>
      </c>
      <c r="G258">
        <v>0</v>
      </c>
      <c r="H258">
        <v>0.4</v>
      </c>
      <c r="I258">
        <v>0.35</v>
      </c>
      <c r="J258">
        <v>0.1</v>
      </c>
      <c r="K258">
        <v>0</v>
      </c>
      <c r="L258">
        <v>0</v>
      </c>
      <c r="M258">
        <v>0.39</v>
      </c>
      <c r="N258">
        <v>0.39</v>
      </c>
      <c r="O258">
        <v>0</v>
      </c>
      <c r="P258">
        <v>0</v>
      </c>
      <c r="Q258">
        <v>0</v>
      </c>
      <c r="R258">
        <v>0.45</v>
      </c>
      <c r="S258">
        <v>0</v>
      </c>
      <c r="T258">
        <v>1</v>
      </c>
      <c r="U258">
        <v>0</v>
      </c>
      <c r="V258">
        <v>5.0350000000000001</v>
      </c>
      <c r="X258">
        <v>0</v>
      </c>
      <c r="Y258">
        <v>0</v>
      </c>
    </row>
    <row r="259" spans="1:25" x14ac:dyDescent="0.3">
      <c r="A259" s="30"/>
      <c r="B259" s="30"/>
      <c r="C259" s="1" t="s">
        <v>31</v>
      </c>
      <c r="D259" s="1" t="s">
        <v>26</v>
      </c>
      <c r="E259">
        <v>1.35</v>
      </c>
      <c r="F259">
        <v>0</v>
      </c>
      <c r="G259">
        <v>0</v>
      </c>
      <c r="H259">
        <v>0</v>
      </c>
      <c r="I259">
        <v>1</v>
      </c>
      <c r="J259">
        <v>0.35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1.34</v>
      </c>
      <c r="S259">
        <v>0</v>
      </c>
      <c r="T259">
        <v>1</v>
      </c>
      <c r="U259">
        <v>0</v>
      </c>
      <c r="V259">
        <v>5.0350000000000001</v>
      </c>
      <c r="W259">
        <v>0</v>
      </c>
      <c r="Y259">
        <v>0</v>
      </c>
    </row>
    <row r="260" spans="1:25" x14ac:dyDescent="0.3">
      <c r="A260" s="30"/>
      <c r="B260" s="2">
        <v>45133</v>
      </c>
      <c r="C260" s="1" t="s">
        <v>31</v>
      </c>
      <c r="D260" s="1" t="s">
        <v>26</v>
      </c>
      <c r="E260">
        <v>3.1</v>
      </c>
      <c r="F260">
        <v>9500</v>
      </c>
      <c r="G260">
        <v>0</v>
      </c>
      <c r="H260">
        <v>0</v>
      </c>
      <c r="I260">
        <v>2.35</v>
      </c>
      <c r="J260">
        <v>0.75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3.1</v>
      </c>
      <c r="S260">
        <v>0</v>
      </c>
      <c r="T260">
        <v>1</v>
      </c>
      <c r="U260">
        <v>0</v>
      </c>
      <c r="V260">
        <v>5.87</v>
      </c>
      <c r="W260">
        <v>0</v>
      </c>
      <c r="Y260">
        <v>0</v>
      </c>
    </row>
    <row r="261" spans="1:25" x14ac:dyDescent="0.3">
      <c r="A261" s="30"/>
      <c r="B261" s="2">
        <v>45134</v>
      </c>
      <c r="C261" s="1" t="s">
        <v>44</v>
      </c>
      <c r="D261" s="1" t="s">
        <v>26</v>
      </c>
      <c r="E261">
        <v>2.75</v>
      </c>
      <c r="F261">
        <v>18500</v>
      </c>
      <c r="G261">
        <v>0</v>
      </c>
      <c r="H261">
        <v>0</v>
      </c>
      <c r="I261">
        <v>1.95</v>
      </c>
      <c r="J261">
        <v>0.8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2.73</v>
      </c>
      <c r="S261">
        <v>0</v>
      </c>
      <c r="T261">
        <v>1</v>
      </c>
      <c r="U261">
        <v>0</v>
      </c>
      <c r="V261">
        <v>5.87</v>
      </c>
      <c r="W261">
        <v>0</v>
      </c>
      <c r="Y261">
        <v>0</v>
      </c>
    </row>
    <row r="262" spans="1:25" x14ac:dyDescent="0.3">
      <c r="A262" s="30"/>
      <c r="B262" s="29">
        <v>45135</v>
      </c>
      <c r="C262" s="1" t="s">
        <v>41</v>
      </c>
      <c r="D262" s="1" t="s">
        <v>34</v>
      </c>
      <c r="E262">
        <v>1.7</v>
      </c>
      <c r="F262">
        <v>29000</v>
      </c>
      <c r="G262">
        <v>0</v>
      </c>
      <c r="H262">
        <v>0</v>
      </c>
      <c r="I262">
        <v>1.2</v>
      </c>
      <c r="J262">
        <v>0.5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1.7</v>
      </c>
      <c r="S262">
        <v>0</v>
      </c>
      <c r="T262">
        <v>1</v>
      </c>
      <c r="U262">
        <v>0</v>
      </c>
      <c r="V262">
        <v>9</v>
      </c>
      <c r="W262">
        <v>0</v>
      </c>
      <c r="Y262">
        <v>0</v>
      </c>
    </row>
    <row r="263" spans="1:25" x14ac:dyDescent="0.3">
      <c r="A263" s="30"/>
      <c r="B263" s="30"/>
      <c r="C263" s="1" t="s">
        <v>45</v>
      </c>
      <c r="D263" s="1" t="s">
        <v>34</v>
      </c>
      <c r="E263">
        <v>2.2999999999999998</v>
      </c>
      <c r="F263">
        <v>29000</v>
      </c>
      <c r="G263">
        <v>39</v>
      </c>
      <c r="H263">
        <v>2</v>
      </c>
      <c r="I263">
        <v>0.25</v>
      </c>
      <c r="J263">
        <v>0</v>
      </c>
      <c r="K263">
        <v>0</v>
      </c>
      <c r="L263">
        <v>0</v>
      </c>
      <c r="M263">
        <v>2.29</v>
      </c>
      <c r="N263">
        <v>2.02</v>
      </c>
      <c r="O263">
        <v>0</v>
      </c>
      <c r="P263">
        <v>0</v>
      </c>
      <c r="Q263">
        <v>0</v>
      </c>
      <c r="R263">
        <v>0</v>
      </c>
      <c r="S263">
        <v>3.5</v>
      </c>
      <c r="T263">
        <v>3</v>
      </c>
      <c r="U263">
        <v>3374.32</v>
      </c>
      <c r="V263">
        <v>9</v>
      </c>
      <c r="W263">
        <v>11.14</v>
      </c>
      <c r="X263">
        <v>11.14</v>
      </c>
      <c r="Y263">
        <v>89.24</v>
      </c>
    </row>
    <row r="264" spans="1:25" x14ac:dyDescent="0.3">
      <c r="A264" s="30"/>
      <c r="B264" s="30"/>
      <c r="C264" s="1" t="s">
        <v>42</v>
      </c>
      <c r="D264" s="1" t="s">
        <v>34</v>
      </c>
      <c r="E264">
        <v>0.55000000000000004</v>
      </c>
      <c r="F264">
        <v>29000</v>
      </c>
      <c r="G264">
        <v>0</v>
      </c>
      <c r="H264">
        <v>0.45</v>
      </c>
      <c r="I264">
        <v>0.1</v>
      </c>
      <c r="J264">
        <v>0</v>
      </c>
      <c r="K264">
        <v>0</v>
      </c>
      <c r="L264">
        <v>0</v>
      </c>
      <c r="M264">
        <v>0.44</v>
      </c>
      <c r="N264">
        <v>0.44</v>
      </c>
      <c r="O264">
        <v>0</v>
      </c>
      <c r="P264">
        <v>0</v>
      </c>
      <c r="Q264">
        <v>0</v>
      </c>
      <c r="R264">
        <v>0.11</v>
      </c>
      <c r="S264">
        <v>0</v>
      </c>
      <c r="T264">
        <v>3</v>
      </c>
      <c r="U264">
        <v>1909.98</v>
      </c>
      <c r="V264">
        <v>9</v>
      </c>
      <c r="X264">
        <v>0</v>
      </c>
      <c r="Y264">
        <v>0</v>
      </c>
    </row>
    <row r="265" spans="1:25" x14ac:dyDescent="0.3">
      <c r="A265" s="30"/>
      <c r="B265" s="2">
        <v>45136</v>
      </c>
      <c r="C265" s="1" t="s">
        <v>37</v>
      </c>
      <c r="D265" s="1" t="s">
        <v>34</v>
      </c>
      <c r="E265">
        <v>16.3</v>
      </c>
      <c r="F265">
        <v>29000</v>
      </c>
      <c r="G265">
        <v>263</v>
      </c>
      <c r="H265">
        <v>14.7</v>
      </c>
      <c r="I265">
        <v>1.55</v>
      </c>
      <c r="J265">
        <v>0</v>
      </c>
      <c r="K265">
        <v>0</v>
      </c>
      <c r="L265">
        <v>0</v>
      </c>
      <c r="M265">
        <v>16.28</v>
      </c>
      <c r="N265">
        <v>14.72</v>
      </c>
      <c r="O265">
        <v>0</v>
      </c>
      <c r="P265">
        <v>0</v>
      </c>
      <c r="Q265">
        <v>0</v>
      </c>
      <c r="R265">
        <v>0</v>
      </c>
      <c r="S265">
        <v>24</v>
      </c>
      <c r="T265">
        <v>5</v>
      </c>
      <c r="U265">
        <v>3609.7</v>
      </c>
      <c r="V265">
        <v>9</v>
      </c>
      <c r="W265">
        <v>11.25</v>
      </c>
      <c r="X265">
        <v>10.96</v>
      </c>
      <c r="Y265">
        <v>86.49</v>
      </c>
    </row>
    <row r="266" spans="1:25" s="5" customFormat="1" x14ac:dyDescent="0.3">
      <c r="A266" s="30"/>
      <c r="B266" s="3">
        <v>45137</v>
      </c>
      <c r="C266" s="4" t="s">
        <v>38</v>
      </c>
      <c r="D266" s="4" t="s">
        <v>34</v>
      </c>
      <c r="E266" s="5">
        <v>15.55</v>
      </c>
      <c r="F266" s="5">
        <v>29000</v>
      </c>
      <c r="G266" s="5">
        <v>262</v>
      </c>
      <c r="H266" s="5">
        <v>14</v>
      </c>
      <c r="I266" s="5">
        <v>1.55</v>
      </c>
      <c r="J266" s="5">
        <v>0</v>
      </c>
      <c r="K266" s="5">
        <v>0</v>
      </c>
      <c r="L266" s="5">
        <v>0</v>
      </c>
      <c r="M266" s="5">
        <v>15.56</v>
      </c>
      <c r="N266" s="5">
        <v>14.02</v>
      </c>
      <c r="O266" s="5">
        <v>0</v>
      </c>
      <c r="P266" s="5">
        <v>0</v>
      </c>
      <c r="Q266" s="5">
        <v>0</v>
      </c>
      <c r="R266" s="5">
        <v>0</v>
      </c>
      <c r="S266" s="5">
        <v>24</v>
      </c>
      <c r="T266" s="5">
        <v>5</v>
      </c>
      <c r="U266" s="5">
        <v>3419.13</v>
      </c>
      <c r="V266" s="5">
        <v>9</v>
      </c>
      <c r="W266" s="5">
        <v>11.17</v>
      </c>
      <c r="X266" s="5">
        <v>10.92</v>
      </c>
      <c r="Y266" s="5">
        <v>86.03</v>
      </c>
    </row>
    <row r="267" spans="1:25" x14ac:dyDescent="0.3">
      <c r="A267" s="30"/>
      <c r="B267" s="2">
        <v>45138</v>
      </c>
      <c r="C267" s="1" t="s">
        <v>38</v>
      </c>
      <c r="D267" s="1" t="s">
        <v>34</v>
      </c>
      <c r="E267">
        <v>16.2</v>
      </c>
      <c r="F267">
        <v>29000</v>
      </c>
      <c r="G267">
        <v>280</v>
      </c>
      <c r="H267">
        <v>14.6</v>
      </c>
      <c r="I267">
        <v>1.6</v>
      </c>
      <c r="J267">
        <v>0</v>
      </c>
      <c r="K267">
        <v>0</v>
      </c>
      <c r="L267">
        <v>0</v>
      </c>
      <c r="M267">
        <v>16.21</v>
      </c>
      <c r="N267">
        <v>14.61</v>
      </c>
      <c r="O267">
        <v>0</v>
      </c>
      <c r="P267">
        <v>0</v>
      </c>
      <c r="Q267">
        <v>0</v>
      </c>
      <c r="R267">
        <v>0</v>
      </c>
      <c r="S267">
        <v>25</v>
      </c>
      <c r="T267">
        <v>4</v>
      </c>
      <c r="U267">
        <v>3420.66</v>
      </c>
      <c r="V267">
        <v>9</v>
      </c>
      <c r="W267">
        <v>11.4</v>
      </c>
      <c r="X267">
        <v>11.2</v>
      </c>
      <c r="Y267">
        <v>86.55</v>
      </c>
    </row>
    <row r="268" spans="1:25" x14ac:dyDescent="0.3">
      <c r="A268" s="30"/>
      <c r="B268" s="2">
        <v>45139</v>
      </c>
      <c r="C268" s="1" t="s">
        <v>38</v>
      </c>
      <c r="D268" s="1" t="s">
        <v>34</v>
      </c>
      <c r="E268">
        <v>15.5</v>
      </c>
      <c r="F268">
        <v>29000</v>
      </c>
      <c r="G268">
        <v>263</v>
      </c>
      <c r="H268">
        <v>14</v>
      </c>
      <c r="I268">
        <v>1.55</v>
      </c>
      <c r="J268">
        <v>0</v>
      </c>
      <c r="K268">
        <v>0</v>
      </c>
      <c r="L268">
        <v>0</v>
      </c>
      <c r="M268">
        <v>15.51</v>
      </c>
      <c r="N268">
        <v>13.98</v>
      </c>
      <c r="O268">
        <v>0</v>
      </c>
      <c r="P268">
        <v>0</v>
      </c>
      <c r="Q268">
        <v>0</v>
      </c>
      <c r="R268">
        <v>0</v>
      </c>
      <c r="S268">
        <v>24</v>
      </c>
      <c r="T268">
        <v>4</v>
      </c>
      <c r="U268">
        <v>3408.24</v>
      </c>
      <c r="V268">
        <v>9</v>
      </c>
      <c r="W268">
        <v>11.25</v>
      </c>
      <c r="X268">
        <v>10.96</v>
      </c>
      <c r="Y268">
        <v>86.55</v>
      </c>
    </row>
    <row r="269" spans="1:25" x14ac:dyDescent="0.3">
      <c r="A269" s="30"/>
      <c r="B269" s="2">
        <v>45140</v>
      </c>
      <c r="C269" s="1" t="s">
        <v>38</v>
      </c>
      <c r="D269" s="1" t="s">
        <v>34</v>
      </c>
      <c r="E269">
        <v>15.7</v>
      </c>
      <c r="F269">
        <v>29000</v>
      </c>
      <c r="G269">
        <v>257</v>
      </c>
      <c r="H269">
        <v>14.1</v>
      </c>
      <c r="I269">
        <v>1.6</v>
      </c>
      <c r="J269">
        <v>0</v>
      </c>
      <c r="K269">
        <v>0</v>
      </c>
      <c r="L269">
        <v>0</v>
      </c>
      <c r="M269">
        <v>15.69</v>
      </c>
      <c r="N269">
        <v>14.11</v>
      </c>
      <c r="O269">
        <v>0</v>
      </c>
      <c r="P269">
        <v>0</v>
      </c>
      <c r="Q269">
        <v>0</v>
      </c>
      <c r="R269">
        <v>0</v>
      </c>
      <c r="S269">
        <v>24</v>
      </c>
      <c r="T269">
        <v>4</v>
      </c>
      <c r="U269">
        <v>3443.63</v>
      </c>
      <c r="V269">
        <v>9</v>
      </c>
      <c r="W269">
        <v>11.04</v>
      </c>
      <c r="X269">
        <v>10.71</v>
      </c>
      <c r="Y269">
        <v>87.03</v>
      </c>
    </row>
    <row r="270" spans="1:25" s="5" customFormat="1" x14ac:dyDescent="0.3">
      <c r="A270" s="30"/>
      <c r="B270" s="3">
        <v>45141</v>
      </c>
      <c r="C270" s="4" t="s">
        <v>38</v>
      </c>
      <c r="D270" s="4" t="s">
        <v>34</v>
      </c>
      <c r="E270" s="5">
        <v>14.95</v>
      </c>
      <c r="F270" s="5">
        <v>29000</v>
      </c>
      <c r="G270" s="5">
        <v>269</v>
      </c>
      <c r="H270" s="5">
        <v>13.4</v>
      </c>
      <c r="I270" s="5">
        <v>1.55</v>
      </c>
      <c r="J270" s="5">
        <v>0</v>
      </c>
      <c r="K270" s="5">
        <v>0</v>
      </c>
      <c r="L270" s="5">
        <v>0</v>
      </c>
      <c r="M270" s="5">
        <v>14.95</v>
      </c>
      <c r="N270" s="5">
        <v>13.38</v>
      </c>
      <c r="O270" s="5">
        <v>0</v>
      </c>
      <c r="P270" s="5">
        <v>0</v>
      </c>
      <c r="Q270" s="5">
        <v>0</v>
      </c>
      <c r="R270" s="5">
        <v>0</v>
      </c>
      <c r="S270" s="5">
        <v>24</v>
      </c>
      <c r="T270" s="5">
        <v>6</v>
      </c>
      <c r="U270" s="5">
        <v>3253.81</v>
      </c>
      <c r="V270" s="5">
        <v>9</v>
      </c>
      <c r="W270" s="5">
        <v>11.46</v>
      </c>
      <c r="X270" s="5">
        <v>11.21</v>
      </c>
      <c r="Y270" s="5">
        <v>86.94</v>
      </c>
    </row>
    <row r="271" spans="1:25" x14ac:dyDescent="0.3">
      <c r="A271" s="30"/>
      <c r="B271" s="29">
        <v>45142</v>
      </c>
      <c r="C271" s="1" t="s">
        <v>54</v>
      </c>
      <c r="D271" s="1" t="s">
        <v>34</v>
      </c>
      <c r="E271">
        <v>6.65</v>
      </c>
      <c r="F271">
        <v>29000</v>
      </c>
      <c r="G271">
        <v>108</v>
      </c>
      <c r="H271">
        <v>5.8</v>
      </c>
      <c r="I271">
        <v>0.85</v>
      </c>
      <c r="J271">
        <v>0</v>
      </c>
      <c r="K271">
        <v>0</v>
      </c>
      <c r="L271">
        <v>0</v>
      </c>
      <c r="M271">
        <v>6.63</v>
      </c>
      <c r="N271">
        <v>5.78</v>
      </c>
      <c r="O271">
        <v>0</v>
      </c>
      <c r="P271">
        <v>0</v>
      </c>
      <c r="Q271">
        <v>0</v>
      </c>
      <c r="R271">
        <v>0</v>
      </c>
      <c r="S271">
        <v>10.5</v>
      </c>
      <c r="T271">
        <v>4</v>
      </c>
      <c r="U271">
        <v>3210.72</v>
      </c>
      <c r="V271">
        <v>9.0250000000000004</v>
      </c>
      <c r="W271">
        <v>11.43</v>
      </c>
      <c r="X271">
        <v>10.29</v>
      </c>
      <c r="Y271">
        <v>86.71</v>
      </c>
    </row>
    <row r="272" spans="1:25" s="5" customFormat="1" x14ac:dyDescent="0.3">
      <c r="A272" s="30"/>
      <c r="B272" s="30"/>
      <c r="C272" s="4" t="s">
        <v>38</v>
      </c>
      <c r="D272" s="4" t="s">
        <v>34</v>
      </c>
      <c r="E272" s="5">
        <v>15.15</v>
      </c>
      <c r="F272" s="5">
        <v>29000</v>
      </c>
      <c r="G272" s="5">
        <v>259</v>
      </c>
      <c r="H272" s="5">
        <v>13.6</v>
      </c>
      <c r="I272" s="5">
        <v>1.55</v>
      </c>
      <c r="J272" s="5">
        <v>0</v>
      </c>
      <c r="K272" s="5">
        <v>0</v>
      </c>
      <c r="L272" s="5">
        <v>0</v>
      </c>
      <c r="M272" s="5">
        <v>15.15</v>
      </c>
      <c r="N272" s="5">
        <v>13.59</v>
      </c>
      <c r="O272" s="5">
        <v>0</v>
      </c>
      <c r="P272" s="5">
        <v>0</v>
      </c>
      <c r="Q272" s="5">
        <v>0</v>
      </c>
      <c r="R272" s="5">
        <v>0</v>
      </c>
      <c r="S272" s="5">
        <v>24</v>
      </c>
      <c r="T272" s="5">
        <v>5</v>
      </c>
      <c r="U272" s="5">
        <v>3307.49</v>
      </c>
      <c r="V272" s="5">
        <v>9</v>
      </c>
      <c r="W272" s="5">
        <v>11.04</v>
      </c>
      <c r="X272" s="5">
        <v>10.79</v>
      </c>
      <c r="Y272" s="5">
        <v>86.9</v>
      </c>
    </row>
    <row r="273" spans="1:25" x14ac:dyDescent="0.3">
      <c r="A273" s="30"/>
      <c r="B273" s="29">
        <v>45143</v>
      </c>
      <c r="C273" s="1" t="s">
        <v>57</v>
      </c>
      <c r="D273" s="1" t="s">
        <v>34</v>
      </c>
      <c r="E273">
        <v>2.95</v>
      </c>
      <c r="F273">
        <v>29000</v>
      </c>
      <c r="G273">
        <v>0</v>
      </c>
      <c r="H273">
        <v>1.5</v>
      </c>
      <c r="I273">
        <v>1.05</v>
      </c>
      <c r="J273">
        <v>0.4</v>
      </c>
      <c r="K273">
        <v>0</v>
      </c>
      <c r="L273">
        <v>0</v>
      </c>
      <c r="M273">
        <v>2.2400000000000002</v>
      </c>
      <c r="N273">
        <v>1.48</v>
      </c>
      <c r="O273">
        <v>0</v>
      </c>
      <c r="P273">
        <v>0</v>
      </c>
      <c r="Q273">
        <v>0</v>
      </c>
      <c r="R273">
        <v>0.69</v>
      </c>
      <c r="S273">
        <v>0</v>
      </c>
      <c r="T273">
        <v>4</v>
      </c>
      <c r="U273">
        <v>0</v>
      </c>
      <c r="V273">
        <v>9.1</v>
      </c>
      <c r="W273">
        <v>0</v>
      </c>
      <c r="X273">
        <v>0</v>
      </c>
      <c r="Y273">
        <v>0</v>
      </c>
    </row>
    <row r="274" spans="1:25" x14ac:dyDescent="0.3">
      <c r="A274" s="30"/>
      <c r="B274" s="30"/>
      <c r="C274" s="1" t="s">
        <v>42</v>
      </c>
      <c r="D274" s="1" t="s">
        <v>34</v>
      </c>
      <c r="E274">
        <v>0.75</v>
      </c>
      <c r="F274">
        <v>29000</v>
      </c>
      <c r="G274">
        <v>0</v>
      </c>
      <c r="H274">
        <v>0.3</v>
      </c>
      <c r="I274">
        <v>0.3</v>
      </c>
      <c r="J274">
        <v>0.1</v>
      </c>
      <c r="K274">
        <v>0</v>
      </c>
      <c r="L274">
        <v>0</v>
      </c>
      <c r="M274">
        <v>0.49</v>
      </c>
      <c r="N274">
        <v>0.31</v>
      </c>
      <c r="O274">
        <v>0</v>
      </c>
      <c r="P274">
        <v>0</v>
      </c>
      <c r="Q274">
        <v>0</v>
      </c>
      <c r="R274">
        <v>0.25</v>
      </c>
      <c r="S274">
        <v>0</v>
      </c>
      <c r="T274">
        <v>3</v>
      </c>
      <c r="U274">
        <v>0</v>
      </c>
      <c r="V274">
        <v>9.0749999999999993</v>
      </c>
      <c r="W274">
        <v>0</v>
      </c>
      <c r="X274">
        <v>0</v>
      </c>
      <c r="Y274">
        <v>0</v>
      </c>
    </row>
    <row r="275" spans="1:25" x14ac:dyDescent="0.3">
      <c r="A275" s="30"/>
      <c r="B275" s="2">
        <v>45144</v>
      </c>
      <c r="C275" s="1" t="s">
        <v>38</v>
      </c>
      <c r="D275" s="1" t="s">
        <v>34</v>
      </c>
      <c r="E275">
        <v>12.35</v>
      </c>
      <c r="F275">
        <v>29000</v>
      </c>
      <c r="G275">
        <v>232</v>
      </c>
      <c r="H275">
        <v>11.1</v>
      </c>
      <c r="I275">
        <v>1.25</v>
      </c>
      <c r="J275">
        <v>0</v>
      </c>
      <c r="K275">
        <v>0</v>
      </c>
      <c r="L275">
        <v>0</v>
      </c>
      <c r="M275">
        <v>12.35</v>
      </c>
      <c r="N275">
        <v>11.08</v>
      </c>
      <c r="O275">
        <v>0</v>
      </c>
      <c r="P275">
        <v>0</v>
      </c>
      <c r="Q275">
        <v>0</v>
      </c>
      <c r="R275">
        <v>0</v>
      </c>
      <c r="S275">
        <v>20.2</v>
      </c>
      <c r="T275">
        <v>4</v>
      </c>
      <c r="U275">
        <v>3198.69</v>
      </c>
      <c r="V275">
        <v>9.0749999999999993</v>
      </c>
      <c r="W275">
        <v>16.829999999999998</v>
      </c>
      <c r="X275">
        <v>11.49</v>
      </c>
      <c r="Y275">
        <v>87.12</v>
      </c>
    </row>
    <row r="276" spans="1:25" x14ac:dyDescent="0.3">
      <c r="A276" s="30"/>
      <c r="B276" s="2">
        <v>45145</v>
      </c>
      <c r="C276" s="1" t="s">
        <v>39</v>
      </c>
      <c r="D276" s="1" t="s">
        <v>34</v>
      </c>
      <c r="E276">
        <v>15.85</v>
      </c>
      <c r="F276">
        <v>29000</v>
      </c>
      <c r="G276">
        <v>283</v>
      </c>
      <c r="H276">
        <v>14.25</v>
      </c>
      <c r="I276">
        <v>1.6</v>
      </c>
      <c r="J276">
        <v>0</v>
      </c>
      <c r="K276">
        <v>0</v>
      </c>
      <c r="L276">
        <v>0</v>
      </c>
      <c r="M276">
        <v>15.83</v>
      </c>
      <c r="N276">
        <v>14.25</v>
      </c>
      <c r="O276">
        <v>0</v>
      </c>
      <c r="P276">
        <v>0</v>
      </c>
      <c r="Q276">
        <v>0</v>
      </c>
      <c r="R276">
        <v>0</v>
      </c>
      <c r="S276">
        <v>25</v>
      </c>
      <c r="T276">
        <v>4</v>
      </c>
      <c r="U276">
        <v>3330.5</v>
      </c>
      <c r="V276">
        <v>9.0749999999999993</v>
      </c>
      <c r="W276">
        <v>11.6</v>
      </c>
      <c r="X276">
        <v>11.32</v>
      </c>
      <c r="Y276">
        <v>86.86</v>
      </c>
    </row>
    <row r="277" spans="1:25" x14ac:dyDescent="0.3">
      <c r="A277" s="30"/>
      <c r="B277" s="2">
        <v>45146</v>
      </c>
      <c r="C277" s="1" t="s">
        <v>38</v>
      </c>
      <c r="D277" s="1" t="s">
        <v>34</v>
      </c>
      <c r="E277">
        <v>15.3</v>
      </c>
      <c r="F277">
        <v>29000</v>
      </c>
      <c r="G277">
        <v>280</v>
      </c>
      <c r="H277">
        <v>13.75</v>
      </c>
      <c r="I277">
        <v>1.55</v>
      </c>
      <c r="J277">
        <v>0</v>
      </c>
      <c r="K277">
        <v>0</v>
      </c>
      <c r="L277">
        <v>0</v>
      </c>
      <c r="M277">
        <v>15.32</v>
      </c>
      <c r="N277">
        <v>13.77</v>
      </c>
      <c r="O277">
        <v>0</v>
      </c>
      <c r="P277">
        <v>0</v>
      </c>
      <c r="Q277">
        <v>0</v>
      </c>
      <c r="R277">
        <v>0</v>
      </c>
      <c r="S277">
        <v>24</v>
      </c>
      <c r="T277">
        <v>3</v>
      </c>
      <c r="U277">
        <v>3353.51</v>
      </c>
      <c r="V277">
        <v>9.0749999999999993</v>
      </c>
      <c r="W277">
        <v>11.79</v>
      </c>
      <c r="X277">
        <v>11.67</v>
      </c>
      <c r="Y277">
        <v>87.41</v>
      </c>
    </row>
    <row r="278" spans="1:25" x14ac:dyDescent="0.3">
      <c r="A278" s="30"/>
      <c r="B278" s="2">
        <v>45147</v>
      </c>
      <c r="C278" s="1" t="s">
        <v>38</v>
      </c>
      <c r="D278" s="1" t="s">
        <v>34</v>
      </c>
      <c r="E278">
        <v>15.8</v>
      </c>
      <c r="F278">
        <v>29000</v>
      </c>
      <c r="G278">
        <v>303</v>
      </c>
      <c r="H278">
        <v>14.2</v>
      </c>
      <c r="I278">
        <v>1.55</v>
      </c>
      <c r="J278">
        <v>0</v>
      </c>
      <c r="K278">
        <v>0</v>
      </c>
      <c r="L278">
        <v>0</v>
      </c>
      <c r="M278">
        <v>15.78</v>
      </c>
      <c r="N278">
        <v>14.22</v>
      </c>
      <c r="O278">
        <v>0</v>
      </c>
      <c r="P278">
        <v>0</v>
      </c>
      <c r="Q278">
        <v>0</v>
      </c>
      <c r="R278">
        <v>0</v>
      </c>
      <c r="S278">
        <v>25</v>
      </c>
      <c r="T278">
        <v>3</v>
      </c>
      <c r="U278">
        <v>3323.14</v>
      </c>
      <c r="V278">
        <v>9.0749999999999993</v>
      </c>
      <c r="W278">
        <v>12.2</v>
      </c>
      <c r="X278">
        <v>12.12</v>
      </c>
      <c r="Y278">
        <v>87.68</v>
      </c>
    </row>
    <row r="279" spans="1:25" x14ac:dyDescent="0.3">
      <c r="A279" s="30"/>
      <c r="B279" s="2">
        <v>45148</v>
      </c>
      <c r="C279" s="1" t="s">
        <v>38</v>
      </c>
      <c r="D279" s="1" t="s">
        <v>34</v>
      </c>
      <c r="E279">
        <v>15.1</v>
      </c>
      <c r="F279">
        <v>29000</v>
      </c>
      <c r="G279">
        <v>282</v>
      </c>
      <c r="H279">
        <v>13.55</v>
      </c>
      <c r="I279">
        <v>1.55</v>
      </c>
      <c r="J279">
        <v>0</v>
      </c>
      <c r="K279">
        <v>0</v>
      </c>
      <c r="L279">
        <v>0</v>
      </c>
      <c r="M279">
        <v>15.08</v>
      </c>
      <c r="N279">
        <v>13.55</v>
      </c>
      <c r="O279">
        <v>0</v>
      </c>
      <c r="P279">
        <v>0</v>
      </c>
      <c r="Q279">
        <v>0</v>
      </c>
      <c r="R279">
        <v>0</v>
      </c>
      <c r="S279">
        <v>24</v>
      </c>
      <c r="T279">
        <v>3</v>
      </c>
      <c r="U279">
        <v>3297.27</v>
      </c>
      <c r="V279">
        <v>9.0749999999999993</v>
      </c>
      <c r="W279">
        <v>11.88</v>
      </c>
      <c r="X279">
        <v>11.75</v>
      </c>
      <c r="Y279">
        <v>87.41</v>
      </c>
    </row>
    <row r="280" spans="1:25" x14ac:dyDescent="0.3">
      <c r="A280" s="30"/>
      <c r="B280" s="2">
        <v>45149</v>
      </c>
      <c r="C280" s="1" t="s">
        <v>38</v>
      </c>
      <c r="D280" s="1" t="s">
        <v>34</v>
      </c>
      <c r="E280">
        <v>14.95</v>
      </c>
      <c r="F280">
        <v>29000</v>
      </c>
      <c r="G280">
        <v>277</v>
      </c>
      <c r="H280">
        <v>13.4</v>
      </c>
      <c r="I280">
        <v>1.55</v>
      </c>
      <c r="J280">
        <v>0</v>
      </c>
      <c r="K280">
        <v>0</v>
      </c>
      <c r="L280">
        <v>0</v>
      </c>
      <c r="M280">
        <v>14.94</v>
      </c>
      <c r="N280">
        <v>13.4</v>
      </c>
      <c r="O280">
        <v>0</v>
      </c>
      <c r="P280">
        <v>0</v>
      </c>
      <c r="Q280">
        <v>0</v>
      </c>
      <c r="R280">
        <v>0</v>
      </c>
      <c r="S280">
        <v>24</v>
      </c>
      <c r="T280">
        <v>3</v>
      </c>
      <c r="U280">
        <v>3258.92</v>
      </c>
      <c r="V280">
        <v>9.2650000000000006</v>
      </c>
      <c r="W280">
        <v>11.67</v>
      </c>
      <c r="X280">
        <v>11.54</v>
      </c>
      <c r="Y280">
        <v>86.9</v>
      </c>
    </row>
    <row r="281" spans="1:25" x14ac:dyDescent="0.3">
      <c r="A281" s="30"/>
      <c r="B281" s="2">
        <v>45150</v>
      </c>
      <c r="C281" s="1" t="s">
        <v>38</v>
      </c>
      <c r="D281" s="1" t="s">
        <v>34</v>
      </c>
      <c r="E281">
        <v>16.5</v>
      </c>
      <c r="F281">
        <v>29000</v>
      </c>
      <c r="G281">
        <v>269</v>
      </c>
      <c r="H281">
        <v>14.9</v>
      </c>
      <c r="I281">
        <v>1.65</v>
      </c>
      <c r="J281">
        <v>0</v>
      </c>
      <c r="K281">
        <v>0</v>
      </c>
      <c r="L281">
        <v>0</v>
      </c>
      <c r="M281">
        <v>16.52</v>
      </c>
      <c r="N281">
        <v>14.88</v>
      </c>
      <c r="O281">
        <v>0</v>
      </c>
      <c r="P281">
        <v>0</v>
      </c>
      <c r="Q281">
        <v>0</v>
      </c>
      <c r="R281">
        <v>0</v>
      </c>
      <c r="S281">
        <v>25</v>
      </c>
      <c r="T281">
        <v>4</v>
      </c>
      <c r="U281">
        <v>3491.22</v>
      </c>
      <c r="V281">
        <v>9.2650000000000006</v>
      </c>
      <c r="W281">
        <v>11</v>
      </c>
      <c r="X281">
        <v>10.76</v>
      </c>
      <c r="Y281">
        <v>87.86</v>
      </c>
    </row>
    <row r="282" spans="1:25" x14ac:dyDescent="0.3">
      <c r="A282" s="30"/>
      <c r="B282" s="2">
        <v>45151</v>
      </c>
      <c r="C282" s="1" t="s">
        <v>38</v>
      </c>
      <c r="D282" s="1" t="s">
        <v>34</v>
      </c>
      <c r="E282">
        <v>16.8</v>
      </c>
      <c r="F282">
        <v>29000</v>
      </c>
      <c r="G282">
        <v>248</v>
      </c>
      <c r="H282">
        <v>15.25</v>
      </c>
      <c r="I282">
        <v>1.6</v>
      </c>
      <c r="J282">
        <v>0</v>
      </c>
      <c r="K282">
        <v>0</v>
      </c>
      <c r="L282">
        <v>0</v>
      </c>
      <c r="M282">
        <v>16.82</v>
      </c>
      <c r="N282">
        <v>15.23</v>
      </c>
      <c r="O282">
        <v>0</v>
      </c>
      <c r="P282">
        <v>0</v>
      </c>
      <c r="Q282">
        <v>0</v>
      </c>
      <c r="R282">
        <v>0</v>
      </c>
      <c r="S282">
        <v>25</v>
      </c>
      <c r="T282">
        <v>5</v>
      </c>
      <c r="U282">
        <v>3582.69</v>
      </c>
      <c r="V282">
        <v>9.2650000000000006</v>
      </c>
      <c r="W282">
        <v>10.4</v>
      </c>
      <c r="X282">
        <v>9.92</v>
      </c>
      <c r="Y282">
        <v>87.16</v>
      </c>
    </row>
    <row r="283" spans="1:25" x14ac:dyDescent="0.3">
      <c r="A283" s="30"/>
      <c r="B283" s="2">
        <v>45152</v>
      </c>
      <c r="C283" s="1" t="s">
        <v>38</v>
      </c>
      <c r="D283" s="1" t="s">
        <v>34</v>
      </c>
      <c r="E283">
        <v>15.7</v>
      </c>
      <c r="F283">
        <v>29000</v>
      </c>
      <c r="G283">
        <v>265</v>
      </c>
      <c r="H283">
        <v>14.15</v>
      </c>
      <c r="I283">
        <v>1.55</v>
      </c>
      <c r="J283">
        <v>0</v>
      </c>
      <c r="K283">
        <v>0</v>
      </c>
      <c r="L283">
        <v>0</v>
      </c>
      <c r="M283">
        <v>15.71</v>
      </c>
      <c r="N283">
        <v>14.16</v>
      </c>
      <c r="O283">
        <v>0</v>
      </c>
      <c r="P283">
        <v>0</v>
      </c>
      <c r="Q283">
        <v>0</v>
      </c>
      <c r="R283">
        <v>0</v>
      </c>
      <c r="S283">
        <v>24</v>
      </c>
      <c r="T283">
        <v>5</v>
      </c>
      <c r="U283">
        <v>3457.25</v>
      </c>
      <c r="V283">
        <v>9.2650000000000006</v>
      </c>
      <c r="W283">
        <v>11.46</v>
      </c>
      <c r="X283">
        <v>11.04</v>
      </c>
      <c r="Y283">
        <v>87.02</v>
      </c>
    </row>
    <row r="284" spans="1:25" x14ac:dyDescent="0.3">
      <c r="A284" s="30"/>
      <c r="B284" s="2">
        <v>45153</v>
      </c>
      <c r="C284" s="1" t="s">
        <v>38</v>
      </c>
      <c r="D284" s="1" t="s">
        <v>34</v>
      </c>
      <c r="E284">
        <v>15.3</v>
      </c>
      <c r="F284">
        <v>29000</v>
      </c>
      <c r="G284">
        <v>259</v>
      </c>
      <c r="H284">
        <v>13.75</v>
      </c>
      <c r="I284">
        <v>1.55</v>
      </c>
      <c r="J284">
        <v>0</v>
      </c>
      <c r="K284">
        <v>0</v>
      </c>
      <c r="L284">
        <v>0</v>
      </c>
      <c r="M284">
        <v>15.29</v>
      </c>
      <c r="N284">
        <v>13.75</v>
      </c>
      <c r="O284">
        <v>0</v>
      </c>
      <c r="P284">
        <v>0</v>
      </c>
      <c r="Q284">
        <v>0</v>
      </c>
      <c r="R284">
        <v>0</v>
      </c>
      <c r="S284">
        <v>24</v>
      </c>
      <c r="T284">
        <v>4</v>
      </c>
      <c r="U284">
        <v>3348.4</v>
      </c>
      <c r="V284">
        <v>9.2650000000000006</v>
      </c>
      <c r="W284">
        <v>11.29</v>
      </c>
      <c r="X284">
        <v>10.79</v>
      </c>
      <c r="Y284">
        <v>86.9</v>
      </c>
    </row>
    <row r="285" spans="1:25" x14ac:dyDescent="0.3">
      <c r="A285" s="30"/>
      <c r="B285" s="2">
        <v>45154</v>
      </c>
      <c r="C285" s="1" t="s">
        <v>38</v>
      </c>
      <c r="D285" s="1" t="s">
        <v>34</v>
      </c>
      <c r="E285">
        <v>15.8</v>
      </c>
      <c r="F285">
        <v>29000</v>
      </c>
      <c r="G285">
        <v>256</v>
      </c>
      <c r="H285">
        <v>14.15</v>
      </c>
      <c r="I285">
        <v>1.65</v>
      </c>
      <c r="J285">
        <v>0</v>
      </c>
      <c r="K285">
        <v>0</v>
      </c>
      <c r="L285">
        <v>0</v>
      </c>
      <c r="M285">
        <v>15.82</v>
      </c>
      <c r="N285">
        <v>14.16</v>
      </c>
      <c r="O285">
        <v>0</v>
      </c>
      <c r="P285">
        <v>0</v>
      </c>
      <c r="Q285">
        <v>0</v>
      </c>
      <c r="R285">
        <v>0</v>
      </c>
      <c r="S285">
        <v>24</v>
      </c>
      <c r="T285">
        <v>4</v>
      </c>
      <c r="U285">
        <v>3457.25</v>
      </c>
      <c r="V285">
        <v>9.2650000000000006</v>
      </c>
      <c r="W285">
        <v>11.25</v>
      </c>
      <c r="X285">
        <v>10.67</v>
      </c>
      <c r="Y285">
        <v>87.98</v>
      </c>
    </row>
    <row r="286" spans="1:25" x14ac:dyDescent="0.3">
      <c r="A286" s="30"/>
      <c r="B286" s="2">
        <v>45155</v>
      </c>
      <c r="C286" s="1" t="s">
        <v>38</v>
      </c>
      <c r="D286" s="1" t="s">
        <v>34</v>
      </c>
      <c r="E286">
        <v>15.45</v>
      </c>
      <c r="F286">
        <v>29000</v>
      </c>
      <c r="G286">
        <v>256</v>
      </c>
      <c r="H286">
        <v>13.9</v>
      </c>
      <c r="I286">
        <v>1.5</v>
      </c>
      <c r="J286">
        <v>0</v>
      </c>
      <c r="K286">
        <v>0</v>
      </c>
      <c r="L286">
        <v>0</v>
      </c>
      <c r="M286">
        <v>15.43</v>
      </c>
      <c r="N286">
        <v>13.91</v>
      </c>
      <c r="O286">
        <v>0</v>
      </c>
      <c r="P286">
        <v>0</v>
      </c>
      <c r="Q286">
        <v>0</v>
      </c>
      <c r="R286">
        <v>0</v>
      </c>
      <c r="S286">
        <v>24</v>
      </c>
      <c r="T286">
        <v>4</v>
      </c>
      <c r="U286">
        <v>3389.3</v>
      </c>
      <c r="V286">
        <v>9.2650000000000006</v>
      </c>
      <c r="W286">
        <v>11.17</v>
      </c>
      <c r="X286">
        <v>10.67</v>
      </c>
      <c r="Y286">
        <v>87.35</v>
      </c>
    </row>
    <row r="287" spans="1:25" x14ac:dyDescent="0.3">
      <c r="A287" s="30"/>
      <c r="B287" s="2">
        <v>45156</v>
      </c>
      <c r="C287" s="1" t="s">
        <v>38</v>
      </c>
      <c r="D287" s="1" t="s">
        <v>34</v>
      </c>
      <c r="E287">
        <v>16.100000000000001</v>
      </c>
      <c r="F287">
        <v>29000</v>
      </c>
      <c r="G287">
        <v>254</v>
      </c>
      <c r="H287">
        <v>14.55</v>
      </c>
      <c r="I287">
        <v>1.5</v>
      </c>
      <c r="J287">
        <v>0</v>
      </c>
      <c r="K287">
        <v>0</v>
      </c>
      <c r="L287">
        <v>0</v>
      </c>
      <c r="M287">
        <v>16.079999999999998</v>
      </c>
      <c r="N287">
        <v>14.56</v>
      </c>
      <c r="O287">
        <v>0</v>
      </c>
      <c r="P287">
        <v>0</v>
      </c>
      <c r="Q287">
        <v>0</v>
      </c>
      <c r="R287">
        <v>0</v>
      </c>
      <c r="S287">
        <v>24</v>
      </c>
      <c r="T287">
        <v>4</v>
      </c>
      <c r="U287">
        <v>3566.14</v>
      </c>
      <c r="V287">
        <v>9.2650000000000006</v>
      </c>
      <c r="W287">
        <v>11.17</v>
      </c>
      <c r="X287">
        <v>10.58</v>
      </c>
      <c r="Y287">
        <v>88.26</v>
      </c>
    </row>
    <row r="288" spans="1:25" x14ac:dyDescent="0.3">
      <c r="A288" s="30"/>
      <c r="B288" s="2">
        <v>45157</v>
      </c>
      <c r="C288" s="1" t="s">
        <v>38</v>
      </c>
      <c r="D288" s="1" t="s">
        <v>34</v>
      </c>
      <c r="E288">
        <v>15.6</v>
      </c>
      <c r="F288">
        <v>29000</v>
      </c>
      <c r="G288">
        <v>279</v>
      </c>
      <c r="H288">
        <v>14.05</v>
      </c>
      <c r="I288">
        <v>1.55</v>
      </c>
      <c r="J288">
        <v>0</v>
      </c>
      <c r="K288">
        <v>0</v>
      </c>
      <c r="L288">
        <v>0</v>
      </c>
      <c r="M288">
        <v>15.62</v>
      </c>
      <c r="N288">
        <v>14.06</v>
      </c>
      <c r="O288">
        <v>0</v>
      </c>
      <c r="P288">
        <v>0</v>
      </c>
      <c r="Q288">
        <v>0</v>
      </c>
      <c r="R288">
        <v>0</v>
      </c>
      <c r="S288">
        <v>25</v>
      </c>
      <c r="T288">
        <v>4</v>
      </c>
      <c r="U288">
        <v>3283.87</v>
      </c>
      <c r="V288">
        <v>9.2650000000000006</v>
      </c>
      <c r="W288">
        <v>11.4</v>
      </c>
      <c r="X288">
        <v>11.16</v>
      </c>
      <c r="Y288">
        <v>87.01</v>
      </c>
    </row>
    <row r="289" spans="1:25" x14ac:dyDescent="0.3">
      <c r="A289" s="30"/>
      <c r="B289" s="2">
        <v>45158</v>
      </c>
      <c r="C289" s="1" t="s">
        <v>38</v>
      </c>
      <c r="D289" s="1" t="s">
        <v>34</v>
      </c>
      <c r="E289">
        <v>15.05</v>
      </c>
      <c r="F289">
        <v>29000</v>
      </c>
      <c r="G289">
        <v>281</v>
      </c>
      <c r="H289">
        <v>13.55</v>
      </c>
      <c r="I289">
        <v>1.5</v>
      </c>
      <c r="J289">
        <v>0</v>
      </c>
      <c r="K289">
        <v>0</v>
      </c>
      <c r="L289">
        <v>0</v>
      </c>
      <c r="M289">
        <v>15.03</v>
      </c>
      <c r="N289">
        <v>13.53</v>
      </c>
      <c r="O289">
        <v>0</v>
      </c>
      <c r="P289">
        <v>0</v>
      </c>
      <c r="Q289">
        <v>0</v>
      </c>
      <c r="R289">
        <v>0</v>
      </c>
      <c r="S289">
        <v>24</v>
      </c>
      <c r="T289">
        <v>3</v>
      </c>
      <c r="U289">
        <v>3292.16</v>
      </c>
      <c r="V289">
        <v>9.2650000000000006</v>
      </c>
      <c r="W289">
        <v>11.71</v>
      </c>
      <c r="X289">
        <v>11.71</v>
      </c>
      <c r="Y289">
        <v>87.57</v>
      </c>
    </row>
    <row r="290" spans="1:25" x14ac:dyDescent="0.3">
      <c r="A290" s="30"/>
      <c r="B290" s="2">
        <v>45159</v>
      </c>
      <c r="C290" s="1" t="s">
        <v>38</v>
      </c>
      <c r="D290" s="1" t="s">
        <v>34</v>
      </c>
      <c r="E290">
        <v>15.6</v>
      </c>
      <c r="F290">
        <v>29000</v>
      </c>
      <c r="G290">
        <v>270</v>
      </c>
      <c r="H290">
        <v>14.1</v>
      </c>
      <c r="I290">
        <v>1.5</v>
      </c>
      <c r="J290">
        <v>0</v>
      </c>
      <c r="K290">
        <v>0</v>
      </c>
      <c r="L290">
        <v>0</v>
      </c>
      <c r="M290">
        <v>15.58</v>
      </c>
      <c r="N290">
        <v>14.1</v>
      </c>
      <c r="O290">
        <v>0</v>
      </c>
      <c r="P290">
        <v>0</v>
      </c>
      <c r="Q290">
        <v>0</v>
      </c>
      <c r="R290">
        <v>0</v>
      </c>
      <c r="S290">
        <v>24</v>
      </c>
      <c r="T290">
        <v>3</v>
      </c>
      <c r="U290">
        <v>3440.91</v>
      </c>
      <c r="V290">
        <v>9.2650000000000006</v>
      </c>
      <c r="W290">
        <v>11.71</v>
      </c>
      <c r="X290">
        <v>11.25</v>
      </c>
      <c r="Y290">
        <v>88.05</v>
      </c>
    </row>
    <row r="291" spans="1:25" x14ac:dyDescent="0.3">
      <c r="A291" s="30"/>
      <c r="B291" s="2">
        <v>45160</v>
      </c>
      <c r="C291" s="1" t="s">
        <v>38</v>
      </c>
      <c r="D291" s="1" t="s">
        <v>34</v>
      </c>
      <c r="E291">
        <v>17.45</v>
      </c>
      <c r="F291">
        <v>29000</v>
      </c>
      <c r="G291">
        <v>264</v>
      </c>
      <c r="H291">
        <v>15.9</v>
      </c>
      <c r="I291">
        <v>1.55</v>
      </c>
      <c r="J291">
        <v>0</v>
      </c>
      <c r="K291">
        <v>0</v>
      </c>
      <c r="L291">
        <v>0</v>
      </c>
      <c r="M291">
        <v>17.47</v>
      </c>
      <c r="N291">
        <v>15.91</v>
      </c>
      <c r="O291">
        <v>0</v>
      </c>
      <c r="P291">
        <v>0</v>
      </c>
      <c r="Q291">
        <v>0</v>
      </c>
      <c r="R291">
        <v>0</v>
      </c>
      <c r="S291">
        <v>24</v>
      </c>
      <c r="T291">
        <v>5</v>
      </c>
      <c r="U291">
        <v>3933.66</v>
      </c>
      <c r="V291">
        <v>9.2650000000000006</v>
      </c>
      <c r="W291">
        <v>11.46</v>
      </c>
      <c r="X291">
        <v>11</v>
      </c>
      <c r="Y291">
        <v>90.83</v>
      </c>
    </row>
    <row r="292" spans="1:25" x14ac:dyDescent="0.3">
      <c r="A292" s="30"/>
      <c r="B292" s="29">
        <v>45161</v>
      </c>
      <c r="C292" s="1" t="s">
        <v>40</v>
      </c>
      <c r="D292" s="1" t="s">
        <v>34</v>
      </c>
      <c r="E292">
        <v>5.85</v>
      </c>
      <c r="F292">
        <v>29000</v>
      </c>
      <c r="G292">
        <v>102</v>
      </c>
      <c r="H292">
        <v>5.3</v>
      </c>
      <c r="I292">
        <v>0.55000000000000004</v>
      </c>
      <c r="J292">
        <v>0</v>
      </c>
      <c r="K292">
        <v>0</v>
      </c>
      <c r="L292">
        <v>0</v>
      </c>
      <c r="M292">
        <v>5.87</v>
      </c>
      <c r="N292">
        <v>5.3</v>
      </c>
      <c r="O292">
        <v>0</v>
      </c>
      <c r="P292">
        <v>0</v>
      </c>
      <c r="Q292">
        <v>0</v>
      </c>
      <c r="R292">
        <v>0</v>
      </c>
      <c r="S292">
        <v>9.5</v>
      </c>
      <c r="T292">
        <v>4</v>
      </c>
      <c r="U292">
        <v>3256.23</v>
      </c>
      <c r="V292">
        <v>9.2650000000000006</v>
      </c>
      <c r="W292">
        <v>11.05</v>
      </c>
      <c r="X292">
        <v>10.74</v>
      </c>
      <c r="Y292">
        <v>86.47</v>
      </c>
    </row>
    <row r="293" spans="1:25" x14ac:dyDescent="0.3">
      <c r="A293" s="30"/>
      <c r="B293" s="30"/>
      <c r="C293" s="1" t="s">
        <v>38</v>
      </c>
      <c r="D293" s="1" t="s">
        <v>34</v>
      </c>
      <c r="E293">
        <v>15.5</v>
      </c>
      <c r="F293">
        <v>29000</v>
      </c>
      <c r="G293">
        <v>278</v>
      </c>
      <c r="H293">
        <v>14</v>
      </c>
      <c r="I293">
        <v>1.5</v>
      </c>
      <c r="J293">
        <v>0</v>
      </c>
      <c r="K293">
        <v>0</v>
      </c>
      <c r="L293">
        <v>0</v>
      </c>
      <c r="M293">
        <v>15.5</v>
      </c>
      <c r="N293">
        <v>14.02</v>
      </c>
      <c r="O293">
        <v>0</v>
      </c>
      <c r="P293">
        <v>0</v>
      </c>
      <c r="Q293">
        <v>0</v>
      </c>
      <c r="R293">
        <v>0</v>
      </c>
      <c r="S293">
        <v>24</v>
      </c>
      <c r="T293">
        <v>3</v>
      </c>
      <c r="U293">
        <v>3419.13</v>
      </c>
      <c r="V293">
        <v>9.2650000000000006</v>
      </c>
      <c r="W293">
        <v>11.67</v>
      </c>
      <c r="X293">
        <v>11.58</v>
      </c>
      <c r="Y293">
        <v>87.45</v>
      </c>
    </row>
    <row r="294" spans="1:25" x14ac:dyDescent="0.3">
      <c r="A294" s="30"/>
      <c r="B294" s="29">
        <v>45162</v>
      </c>
      <c r="C294" s="1" t="s">
        <v>28</v>
      </c>
      <c r="D294" s="1" t="s">
        <v>34</v>
      </c>
      <c r="E294">
        <v>2.2000000000000002</v>
      </c>
      <c r="F294">
        <v>29000</v>
      </c>
      <c r="G294">
        <v>0</v>
      </c>
      <c r="H294">
        <v>1.75</v>
      </c>
      <c r="I294">
        <v>0.35</v>
      </c>
      <c r="J294">
        <v>0.1</v>
      </c>
      <c r="K294">
        <v>0</v>
      </c>
      <c r="L294">
        <v>0</v>
      </c>
      <c r="M294">
        <v>2.21</v>
      </c>
      <c r="N294">
        <v>1.73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2</v>
      </c>
      <c r="U294">
        <v>1956.23</v>
      </c>
      <c r="V294">
        <v>9.2650000000000006</v>
      </c>
      <c r="W294">
        <v>0</v>
      </c>
      <c r="X294">
        <v>0</v>
      </c>
      <c r="Y294">
        <v>0</v>
      </c>
    </row>
    <row r="295" spans="1:25" x14ac:dyDescent="0.3">
      <c r="A295" s="30"/>
      <c r="B295" s="30"/>
      <c r="C295" s="1" t="s">
        <v>31</v>
      </c>
      <c r="D295" s="1" t="s">
        <v>34</v>
      </c>
      <c r="E295">
        <v>1.1499999999999999</v>
      </c>
      <c r="F295">
        <v>29000</v>
      </c>
      <c r="G295">
        <v>0</v>
      </c>
      <c r="H295">
        <v>0</v>
      </c>
      <c r="I295">
        <v>0.7</v>
      </c>
      <c r="J295">
        <v>0.45</v>
      </c>
      <c r="K295">
        <v>0</v>
      </c>
      <c r="L295">
        <v>0</v>
      </c>
      <c r="M295">
        <v>1.1599999999999999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2</v>
      </c>
      <c r="U295">
        <v>0</v>
      </c>
      <c r="V295">
        <v>9.2650000000000006</v>
      </c>
      <c r="W295">
        <v>0</v>
      </c>
      <c r="Y295">
        <v>0</v>
      </c>
    </row>
    <row r="296" spans="1:25" x14ac:dyDescent="0.3">
      <c r="A296" s="30"/>
      <c r="B296" s="2">
        <v>45163</v>
      </c>
      <c r="C296" s="1" t="s">
        <v>32</v>
      </c>
      <c r="D296" s="1" t="s">
        <v>34</v>
      </c>
      <c r="E296">
        <v>3.05</v>
      </c>
      <c r="F296">
        <v>14843</v>
      </c>
      <c r="G296">
        <v>0</v>
      </c>
      <c r="H296">
        <v>0</v>
      </c>
      <c r="I296">
        <v>1.6</v>
      </c>
      <c r="J296">
        <v>1.4</v>
      </c>
      <c r="K296">
        <v>0</v>
      </c>
      <c r="L296">
        <v>0</v>
      </c>
      <c r="M296">
        <v>3.03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2</v>
      </c>
      <c r="U296">
        <v>0</v>
      </c>
      <c r="V296">
        <v>9.24</v>
      </c>
      <c r="W296">
        <v>0</v>
      </c>
      <c r="Y296">
        <v>0</v>
      </c>
    </row>
    <row r="297" spans="1:25" x14ac:dyDescent="0.3">
      <c r="A297" s="30"/>
      <c r="B297" s="2">
        <v>45164</v>
      </c>
      <c r="C297" s="1" t="s">
        <v>31</v>
      </c>
      <c r="D297" s="1" t="s">
        <v>34</v>
      </c>
      <c r="E297">
        <v>3.05</v>
      </c>
      <c r="F297">
        <v>8196</v>
      </c>
      <c r="G297">
        <v>0</v>
      </c>
      <c r="H297">
        <v>0</v>
      </c>
      <c r="I297">
        <v>1.6</v>
      </c>
      <c r="J297">
        <v>1.45</v>
      </c>
      <c r="K297">
        <v>0</v>
      </c>
      <c r="L297">
        <v>0</v>
      </c>
      <c r="M297">
        <v>3.05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2</v>
      </c>
      <c r="U297">
        <v>0</v>
      </c>
      <c r="V297">
        <v>6.0650000000000004</v>
      </c>
      <c r="W297">
        <v>0</v>
      </c>
      <c r="Y297">
        <v>0</v>
      </c>
    </row>
    <row r="298" spans="1:25" x14ac:dyDescent="0.3">
      <c r="A298" s="30"/>
      <c r="B298" s="2">
        <v>45165</v>
      </c>
      <c r="C298" s="1" t="s">
        <v>44</v>
      </c>
      <c r="D298" s="1" t="s">
        <v>34</v>
      </c>
      <c r="E298">
        <v>3.25</v>
      </c>
      <c r="F298">
        <v>1365</v>
      </c>
      <c r="G298">
        <v>0</v>
      </c>
      <c r="H298">
        <v>0</v>
      </c>
      <c r="I298">
        <v>1.8</v>
      </c>
      <c r="J298">
        <v>1.45</v>
      </c>
      <c r="K298">
        <v>0</v>
      </c>
      <c r="L298">
        <v>0</v>
      </c>
      <c r="M298">
        <v>3.27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3</v>
      </c>
      <c r="U298">
        <v>0</v>
      </c>
      <c r="V298">
        <v>5.1100000000000003</v>
      </c>
      <c r="W298">
        <v>0</v>
      </c>
      <c r="Y298">
        <v>0</v>
      </c>
    </row>
    <row r="299" spans="1:25" x14ac:dyDescent="0.3">
      <c r="A299" s="30"/>
      <c r="B299" s="2">
        <v>45166</v>
      </c>
      <c r="C299" s="1" t="s">
        <v>31</v>
      </c>
      <c r="D299" s="1" t="s">
        <v>34</v>
      </c>
      <c r="E299">
        <v>5</v>
      </c>
      <c r="F299">
        <v>6300</v>
      </c>
      <c r="G299">
        <v>0</v>
      </c>
      <c r="H299">
        <v>1.65</v>
      </c>
      <c r="I299">
        <v>1.9</v>
      </c>
      <c r="J299">
        <v>1.4</v>
      </c>
      <c r="K299">
        <v>0</v>
      </c>
      <c r="L299">
        <v>0</v>
      </c>
      <c r="M299">
        <v>4.9800000000000004</v>
      </c>
      <c r="N299">
        <v>1.67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2</v>
      </c>
      <c r="U299">
        <v>0</v>
      </c>
      <c r="V299">
        <v>4.9349999999999996</v>
      </c>
      <c r="W299">
        <v>0</v>
      </c>
      <c r="Y299">
        <v>0</v>
      </c>
    </row>
    <row r="300" spans="1:25" x14ac:dyDescent="0.3">
      <c r="A300" s="30"/>
      <c r="B300" s="2">
        <v>45167</v>
      </c>
      <c r="C300" s="1" t="s">
        <v>31</v>
      </c>
      <c r="D300" s="1" t="s">
        <v>34</v>
      </c>
      <c r="E300">
        <v>9.65</v>
      </c>
      <c r="F300">
        <v>6300</v>
      </c>
      <c r="G300">
        <v>0</v>
      </c>
      <c r="H300">
        <v>7.2</v>
      </c>
      <c r="I300">
        <v>1.7</v>
      </c>
      <c r="J300">
        <v>0.75</v>
      </c>
      <c r="K300">
        <v>0</v>
      </c>
      <c r="L300">
        <v>0</v>
      </c>
      <c r="M300">
        <v>9.66</v>
      </c>
      <c r="N300">
        <v>7.2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4.9349999999999996</v>
      </c>
      <c r="W300">
        <v>0</v>
      </c>
      <c r="Y300">
        <v>0</v>
      </c>
    </row>
    <row r="301" spans="1:25" x14ac:dyDescent="0.3">
      <c r="A301" s="30"/>
      <c r="B301" s="2">
        <v>45168</v>
      </c>
      <c r="C301" s="1" t="s">
        <v>31</v>
      </c>
      <c r="D301" s="1" t="s">
        <v>34</v>
      </c>
      <c r="E301">
        <v>4.1500000000000004</v>
      </c>
      <c r="F301">
        <v>4832</v>
      </c>
      <c r="G301">
        <v>0</v>
      </c>
      <c r="H301">
        <v>0</v>
      </c>
      <c r="I301">
        <v>2.65</v>
      </c>
      <c r="J301">
        <v>1.45</v>
      </c>
      <c r="K301">
        <v>0</v>
      </c>
      <c r="L301">
        <v>0</v>
      </c>
      <c r="M301">
        <v>4.13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</v>
      </c>
      <c r="U301">
        <v>0</v>
      </c>
      <c r="V301">
        <v>4.2699999999999996</v>
      </c>
      <c r="W301">
        <v>0</v>
      </c>
      <c r="Y301">
        <v>0</v>
      </c>
    </row>
    <row r="302" spans="1:25" x14ac:dyDescent="0.3">
      <c r="A302" s="30">
        <v>60</v>
      </c>
      <c r="B302" s="29">
        <v>45169</v>
      </c>
      <c r="C302" s="1" t="s">
        <v>48</v>
      </c>
      <c r="D302" s="1" t="s">
        <v>26</v>
      </c>
      <c r="E302">
        <v>1.85</v>
      </c>
      <c r="F302">
        <v>0</v>
      </c>
      <c r="G302">
        <v>0</v>
      </c>
      <c r="H302">
        <v>1.45</v>
      </c>
      <c r="I302">
        <v>0.3</v>
      </c>
      <c r="J302">
        <v>0.1</v>
      </c>
      <c r="K302">
        <v>0</v>
      </c>
      <c r="L302">
        <v>0</v>
      </c>
      <c r="M302">
        <v>1.86</v>
      </c>
      <c r="N302">
        <v>1.45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2</v>
      </c>
      <c r="U302">
        <v>2613.46</v>
      </c>
      <c r="V302">
        <v>4.5350000000000001</v>
      </c>
      <c r="X302">
        <v>0</v>
      </c>
      <c r="Y302">
        <v>0</v>
      </c>
    </row>
    <row r="303" spans="1:25" x14ac:dyDescent="0.3">
      <c r="A303" s="30"/>
      <c r="B303" s="30"/>
      <c r="C303" s="1" t="s">
        <v>36</v>
      </c>
      <c r="D303" s="1" t="s">
        <v>26</v>
      </c>
      <c r="E303">
        <v>3.45</v>
      </c>
      <c r="F303">
        <v>0</v>
      </c>
      <c r="G303">
        <v>0</v>
      </c>
      <c r="H303">
        <v>0.05</v>
      </c>
      <c r="I303">
        <v>1.7</v>
      </c>
      <c r="J303">
        <v>1.7</v>
      </c>
      <c r="K303">
        <v>0</v>
      </c>
      <c r="L303">
        <v>0</v>
      </c>
      <c r="M303">
        <v>3.44</v>
      </c>
      <c r="N303">
        <v>0.04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</v>
      </c>
      <c r="U303">
        <v>0</v>
      </c>
      <c r="V303">
        <v>4.5350000000000001</v>
      </c>
      <c r="W303">
        <v>0</v>
      </c>
      <c r="Y303">
        <v>0</v>
      </c>
    </row>
    <row r="304" spans="1:25" x14ac:dyDescent="0.3">
      <c r="A304" s="30"/>
      <c r="B304" s="29">
        <v>45170</v>
      </c>
      <c r="C304" s="1" t="s">
        <v>42</v>
      </c>
      <c r="D304" s="1" t="s">
        <v>26</v>
      </c>
      <c r="E304">
        <v>10.75</v>
      </c>
      <c r="F304">
        <v>0</v>
      </c>
      <c r="G304">
        <v>0</v>
      </c>
      <c r="H304">
        <v>7.35</v>
      </c>
      <c r="I304">
        <v>2.0499999999999998</v>
      </c>
      <c r="J304">
        <v>1.3</v>
      </c>
      <c r="K304">
        <v>0</v>
      </c>
      <c r="L304">
        <v>0</v>
      </c>
      <c r="M304">
        <v>10.73</v>
      </c>
      <c r="N304">
        <v>7.37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4</v>
      </c>
      <c r="U304">
        <v>1749.4</v>
      </c>
      <c r="V304">
        <v>5.2</v>
      </c>
      <c r="W304">
        <v>0</v>
      </c>
      <c r="X304">
        <v>0</v>
      </c>
      <c r="Y304">
        <v>0</v>
      </c>
    </row>
    <row r="305" spans="1:25" x14ac:dyDescent="0.3">
      <c r="A305" s="30"/>
      <c r="B305" s="30"/>
      <c r="C305" s="1" t="s">
        <v>38</v>
      </c>
      <c r="D305" s="1" t="s">
        <v>26</v>
      </c>
      <c r="E305">
        <v>0.35</v>
      </c>
      <c r="F305">
        <v>0</v>
      </c>
      <c r="G305">
        <v>5</v>
      </c>
      <c r="H305">
        <v>0.3</v>
      </c>
      <c r="I305">
        <v>0.05</v>
      </c>
      <c r="J305">
        <v>0</v>
      </c>
      <c r="K305">
        <v>0</v>
      </c>
      <c r="L305">
        <v>0</v>
      </c>
      <c r="M305">
        <v>0.34</v>
      </c>
      <c r="N305">
        <v>0.28000000000000003</v>
      </c>
      <c r="O305">
        <v>0</v>
      </c>
      <c r="P305">
        <v>0</v>
      </c>
      <c r="Q305">
        <v>0</v>
      </c>
      <c r="R305">
        <v>0</v>
      </c>
      <c r="S305">
        <v>0.4</v>
      </c>
      <c r="T305">
        <v>4</v>
      </c>
      <c r="U305">
        <v>4175.95</v>
      </c>
      <c r="V305">
        <v>5.2</v>
      </c>
      <c r="W305">
        <v>13.25</v>
      </c>
      <c r="X305">
        <v>12.5</v>
      </c>
      <c r="Y305">
        <v>88.75</v>
      </c>
    </row>
    <row r="306" spans="1:25" x14ac:dyDescent="0.3">
      <c r="A306" s="30"/>
      <c r="B306" s="29">
        <v>45171</v>
      </c>
      <c r="C306" s="1" t="s">
        <v>58</v>
      </c>
      <c r="D306" s="1" t="s">
        <v>26</v>
      </c>
      <c r="E306">
        <v>2.0499999999999998</v>
      </c>
      <c r="F306">
        <v>0</v>
      </c>
      <c r="G306">
        <v>27</v>
      </c>
      <c r="H306">
        <v>1.7</v>
      </c>
      <c r="I306">
        <v>0.3</v>
      </c>
      <c r="J306">
        <v>0.05</v>
      </c>
      <c r="K306">
        <v>0</v>
      </c>
      <c r="L306">
        <v>0</v>
      </c>
      <c r="M306">
        <v>2.0499999999999998</v>
      </c>
      <c r="N306">
        <v>1.71</v>
      </c>
      <c r="O306">
        <v>0</v>
      </c>
      <c r="P306">
        <v>0</v>
      </c>
      <c r="Q306">
        <v>0</v>
      </c>
      <c r="R306">
        <v>0</v>
      </c>
      <c r="S306">
        <v>2.2999999999999998</v>
      </c>
      <c r="T306">
        <v>6</v>
      </c>
      <c r="U306">
        <v>4460.0200000000004</v>
      </c>
      <c r="V306">
        <v>5.2</v>
      </c>
      <c r="W306">
        <v>1.33</v>
      </c>
      <c r="X306">
        <v>11.74</v>
      </c>
      <c r="Y306">
        <v>92.83</v>
      </c>
    </row>
    <row r="307" spans="1:25" x14ac:dyDescent="0.3">
      <c r="A307" s="30"/>
      <c r="B307" s="30"/>
      <c r="C307" s="1" t="s">
        <v>37</v>
      </c>
      <c r="D307" s="1" t="s">
        <v>26</v>
      </c>
      <c r="E307">
        <v>21.95</v>
      </c>
      <c r="F307">
        <v>0</v>
      </c>
      <c r="G307">
        <v>279</v>
      </c>
      <c r="H307">
        <v>19.100000000000001</v>
      </c>
      <c r="I307">
        <v>2.9</v>
      </c>
      <c r="J307">
        <v>0</v>
      </c>
      <c r="K307">
        <v>0</v>
      </c>
      <c r="L307">
        <v>0</v>
      </c>
      <c r="M307">
        <v>21.97</v>
      </c>
      <c r="N307">
        <v>19.09</v>
      </c>
      <c r="O307">
        <v>0</v>
      </c>
      <c r="P307">
        <v>0</v>
      </c>
      <c r="Q307">
        <v>0</v>
      </c>
      <c r="R307">
        <v>0</v>
      </c>
      <c r="S307">
        <v>24</v>
      </c>
      <c r="T307">
        <v>6</v>
      </c>
      <c r="U307">
        <v>4799.37</v>
      </c>
      <c r="V307">
        <v>5.2</v>
      </c>
      <c r="W307">
        <v>11.88</v>
      </c>
      <c r="X307">
        <v>11.63</v>
      </c>
      <c r="Y307">
        <v>94</v>
      </c>
    </row>
    <row r="308" spans="1:25" x14ac:dyDescent="0.3">
      <c r="A308" s="30"/>
      <c r="B308" s="2">
        <v>45172</v>
      </c>
      <c r="C308" s="1" t="s">
        <v>33</v>
      </c>
      <c r="D308" s="1" t="s">
        <v>26</v>
      </c>
      <c r="E308">
        <v>5.75</v>
      </c>
      <c r="F308">
        <v>0</v>
      </c>
      <c r="G308">
        <v>0</v>
      </c>
      <c r="H308">
        <v>2.4500000000000002</v>
      </c>
      <c r="I308">
        <v>1.7</v>
      </c>
      <c r="J308">
        <v>1.6</v>
      </c>
      <c r="K308">
        <v>0</v>
      </c>
      <c r="L308">
        <v>0</v>
      </c>
      <c r="M308">
        <v>5.7500000000000009</v>
      </c>
      <c r="N308">
        <v>2.4500000000000002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6</v>
      </c>
      <c r="U308">
        <v>0</v>
      </c>
      <c r="V308">
        <v>5.2</v>
      </c>
      <c r="X308">
        <v>0</v>
      </c>
      <c r="Y308">
        <v>0</v>
      </c>
    </row>
    <row r="309" spans="1:25" x14ac:dyDescent="0.3">
      <c r="A309" s="30"/>
      <c r="B309" s="2">
        <v>45173</v>
      </c>
      <c r="C309" s="1" t="s">
        <v>59</v>
      </c>
      <c r="D309" s="1" t="s">
        <v>26</v>
      </c>
      <c r="E309">
        <v>5.7</v>
      </c>
      <c r="F309">
        <v>0</v>
      </c>
      <c r="G309">
        <v>0</v>
      </c>
      <c r="H309">
        <v>2</v>
      </c>
      <c r="I309">
        <v>1.85</v>
      </c>
      <c r="J309">
        <v>1.8</v>
      </c>
      <c r="K309">
        <v>0</v>
      </c>
      <c r="L309">
        <v>0</v>
      </c>
      <c r="M309">
        <v>5.68</v>
      </c>
      <c r="N309">
        <v>2.02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5</v>
      </c>
      <c r="U309">
        <v>0</v>
      </c>
      <c r="V309">
        <v>5.2</v>
      </c>
      <c r="X309">
        <v>0</v>
      </c>
      <c r="Y309">
        <v>0</v>
      </c>
    </row>
    <row r="310" spans="1:25" x14ac:dyDescent="0.3">
      <c r="A310" s="30"/>
      <c r="B310" s="2">
        <v>45174</v>
      </c>
      <c r="C310" s="1" t="s">
        <v>60</v>
      </c>
      <c r="D310" s="1" t="s">
        <v>26</v>
      </c>
      <c r="E310">
        <v>5.25</v>
      </c>
      <c r="F310">
        <v>0</v>
      </c>
      <c r="G310">
        <v>0</v>
      </c>
      <c r="H310">
        <v>2.0499999999999998</v>
      </c>
      <c r="I310">
        <v>1.9</v>
      </c>
      <c r="J310">
        <v>1.3</v>
      </c>
      <c r="K310">
        <v>0</v>
      </c>
      <c r="L310">
        <v>0</v>
      </c>
      <c r="M310">
        <v>5.25</v>
      </c>
      <c r="N310">
        <v>2.06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6</v>
      </c>
      <c r="U310">
        <v>0</v>
      </c>
      <c r="V310">
        <v>5.2</v>
      </c>
      <c r="X310">
        <v>0</v>
      </c>
      <c r="Y310">
        <v>0</v>
      </c>
    </row>
    <row r="311" spans="1:25" x14ac:dyDescent="0.3">
      <c r="A311" s="30"/>
      <c r="B311" s="2">
        <v>45175</v>
      </c>
      <c r="C311" s="1" t="s">
        <v>61</v>
      </c>
      <c r="D311" s="1" t="s">
        <v>26</v>
      </c>
      <c r="E311">
        <v>5.2</v>
      </c>
      <c r="F311">
        <v>0</v>
      </c>
      <c r="G311">
        <v>0</v>
      </c>
      <c r="H311">
        <v>2.0499999999999998</v>
      </c>
      <c r="I311">
        <v>1.85</v>
      </c>
      <c r="J311">
        <v>1.3</v>
      </c>
      <c r="K311">
        <v>0</v>
      </c>
      <c r="L311">
        <v>0</v>
      </c>
      <c r="M311">
        <v>5.21</v>
      </c>
      <c r="N311">
        <v>2.0299999999999998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4</v>
      </c>
      <c r="U311">
        <v>0</v>
      </c>
      <c r="V311">
        <v>5.2</v>
      </c>
      <c r="W311">
        <v>0</v>
      </c>
      <c r="X311">
        <v>0</v>
      </c>
      <c r="Y311">
        <v>0</v>
      </c>
    </row>
    <row r="312" spans="1:25" x14ac:dyDescent="0.3">
      <c r="A312" s="30"/>
      <c r="B312" s="2">
        <v>45176</v>
      </c>
      <c r="C312" s="1" t="s">
        <v>27</v>
      </c>
      <c r="D312" s="1" t="s">
        <v>26</v>
      </c>
      <c r="E312">
        <v>3.05</v>
      </c>
      <c r="F312">
        <v>0</v>
      </c>
      <c r="G312">
        <v>0</v>
      </c>
      <c r="H312">
        <v>0</v>
      </c>
      <c r="I312">
        <v>1.55</v>
      </c>
      <c r="J312">
        <v>1.5</v>
      </c>
      <c r="K312">
        <v>0</v>
      </c>
      <c r="L312">
        <v>0</v>
      </c>
      <c r="M312">
        <v>3.06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5</v>
      </c>
      <c r="U312">
        <v>0</v>
      </c>
      <c r="V312">
        <v>5.2</v>
      </c>
      <c r="W312">
        <v>0</v>
      </c>
      <c r="X312">
        <v>0</v>
      </c>
      <c r="Y312">
        <v>0</v>
      </c>
    </row>
    <row r="313" spans="1:25" x14ac:dyDescent="0.3">
      <c r="A313" s="30"/>
      <c r="B313" s="2">
        <v>45177</v>
      </c>
      <c r="C313" s="1" t="s">
        <v>27</v>
      </c>
      <c r="D313" s="1" t="s">
        <v>26</v>
      </c>
      <c r="E313">
        <v>3.2</v>
      </c>
      <c r="F313">
        <v>0</v>
      </c>
      <c r="G313">
        <v>0</v>
      </c>
      <c r="H313">
        <v>0</v>
      </c>
      <c r="I313">
        <v>1.75</v>
      </c>
      <c r="J313">
        <v>1.45</v>
      </c>
      <c r="K313">
        <v>0</v>
      </c>
      <c r="L313">
        <v>0</v>
      </c>
      <c r="M313">
        <v>3.21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5</v>
      </c>
      <c r="U313">
        <v>0</v>
      </c>
      <c r="V313">
        <v>5.2</v>
      </c>
      <c r="X313">
        <v>0</v>
      </c>
      <c r="Y313">
        <v>0</v>
      </c>
    </row>
    <row r="314" spans="1:25" x14ac:dyDescent="0.3">
      <c r="A314" s="30"/>
      <c r="B314" s="2">
        <v>45178</v>
      </c>
      <c r="C314" s="1" t="s">
        <v>27</v>
      </c>
      <c r="D314" s="1" t="s">
        <v>26</v>
      </c>
      <c r="E314">
        <v>2.95</v>
      </c>
      <c r="F314">
        <v>0</v>
      </c>
      <c r="G314">
        <v>0</v>
      </c>
      <c r="H314">
        <v>0</v>
      </c>
      <c r="I314">
        <v>1.45</v>
      </c>
      <c r="J314">
        <v>1.5</v>
      </c>
      <c r="K314">
        <v>0</v>
      </c>
      <c r="L314">
        <v>0</v>
      </c>
      <c r="M314">
        <v>2.95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4</v>
      </c>
      <c r="U314">
        <v>0</v>
      </c>
      <c r="V314">
        <v>5.2</v>
      </c>
      <c r="X314">
        <v>0</v>
      </c>
      <c r="Y314">
        <v>0</v>
      </c>
    </row>
    <row r="315" spans="1:25" x14ac:dyDescent="0.3">
      <c r="A315" s="30"/>
      <c r="B315" s="29">
        <v>45179</v>
      </c>
      <c r="C315" s="1" t="s">
        <v>27</v>
      </c>
      <c r="D315" s="1" t="s">
        <v>26</v>
      </c>
      <c r="E315">
        <v>3.05</v>
      </c>
      <c r="F315">
        <v>0</v>
      </c>
      <c r="G315">
        <v>0</v>
      </c>
      <c r="H315">
        <v>0</v>
      </c>
      <c r="I315">
        <v>1.55</v>
      </c>
      <c r="J315">
        <v>1.5</v>
      </c>
      <c r="K315">
        <v>0</v>
      </c>
      <c r="L315">
        <v>0</v>
      </c>
      <c r="M315">
        <v>3.04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3</v>
      </c>
      <c r="U315">
        <v>0</v>
      </c>
      <c r="V315">
        <v>5.2</v>
      </c>
      <c r="W315">
        <v>0</v>
      </c>
      <c r="X315">
        <v>0</v>
      </c>
      <c r="Y315">
        <v>0</v>
      </c>
    </row>
    <row r="316" spans="1:25" x14ac:dyDescent="0.3">
      <c r="A316" s="30"/>
      <c r="B316" s="30"/>
      <c r="C316" s="1" t="s">
        <v>28</v>
      </c>
      <c r="D316" s="1" t="s">
        <v>26</v>
      </c>
      <c r="E316">
        <v>1.5</v>
      </c>
      <c r="F316">
        <v>0</v>
      </c>
      <c r="G316">
        <v>0</v>
      </c>
      <c r="H316">
        <v>0.1</v>
      </c>
      <c r="I316">
        <v>0.75</v>
      </c>
      <c r="J316">
        <v>0.65</v>
      </c>
      <c r="K316">
        <v>0</v>
      </c>
      <c r="L316">
        <v>0</v>
      </c>
      <c r="M316">
        <v>1.51</v>
      </c>
      <c r="N316">
        <v>0.1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2</v>
      </c>
      <c r="U316">
        <v>0</v>
      </c>
      <c r="V316">
        <v>5.2</v>
      </c>
      <c r="X316">
        <v>0</v>
      </c>
      <c r="Y316">
        <v>0</v>
      </c>
    </row>
    <row r="317" spans="1:25" x14ac:dyDescent="0.3">
      <c r="A317" s="30"/>
      <c r="B317" s="2">
        <v>45180</v>
      </c>
      <c r="C317" s="1" t="s">
        <v>29</v>
      </c>
      <c r="D317" s="1" t="s">
        <v>26</v>
      </c>
      <c r="E317">
        <v>5.3</v>
      </c>
      <c r="F317">
        <v>0</v>
      </c>
      <c r="G317">
        <v>0</v>
      </c>
      <c r="H317">
        <v>3</v>
      </c>
      <c r="I317">
        <v>1.4</v>
      </c>
      <c r="J317">
        <v>0.85</v>
      </c>
      <c r="K317">
        <v>0</v>
      </c>
      <c r="L317">
        <v>0</v>
      </c>
      <c r="M317">
        <v>5.28</v>
      </c>
      <c r="N317">
        <v>3.02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</v>
      </c>
      <c r="U317">
        <v>0</v>
      </c>
      <c r="V317">
        <v>5.2</v>
      </c>
      <c r="W317">
        <v>0</v>
      </c>
      <c r="Y317">
        <v>0</v>
      </c>
    </row>
    <row r="318" spans="1:25" x14ac:dyDescent="0.3">
      <c r="A318" s="30"/>
      <c r="B318" s="2">
        <v>45181</v>
      </c>
      <c r="C318" s="1" t="s">
        <v>30</v>
      </c>
      <c r="D318" s="1" t="s">
        <v>34</v>
      </c>
      <c r="E318">
        <v>4.5999999999999996</v>
      </c>
      <c r="F318">
        <v>11310</v>
      </c>
      <c r="G318">
        <v>0</v>
      </c>
      <c r="H318">
        <v>0</v>
      </c>
      <c r="I318">
        <v>3.2</v>
      </c>
      <c r="J318">
        <v>1.4</v>
      </c>
      <c r="K318">
        <v>0</v>
      </c>
      <c r="L318">
        <v>0</v>
      </c>
      <c r="M318">
        <v>4.58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</v>
      </c>
      <c r="U318">
        <v>0</v>
      </c>
      <c r="V318">
        <v>5.38</v>
      </c>
      <c r="W318">
        <v>0</v>
      </c>
      <c r="Y318">
        <v>0</v>
      </c>
    </row>
    <row r="319" spans="1:25" x14ac:dyDescent="0.3">
      <c r="A319" s="30"/>
      <c r="B319" s="29">
        <v>45182</v>
      </c>
      <c r="C319" s="1" t="s">
        <v>41</v>
      </c>
      <c r="D319" s="1" t="s">
        <v>34</v>
      </c>
      <c r="E319">
        <v>3.35</v>
      </c>
      <c r="F319">
        <v>19000</v>
      </c>
      <c r="G319">
        <v>0</v>
      </c>
      <c r="H319">
        <v>0</v>
      </c>
      <c r="I319">
        <v>2.2999999999999998</v>
      </c>
      <c r="J319">
        <v>1.05</v>
      </c>
      <c r="K319">
        <v>0</v>
      </c>
      <c r="L319">
        <v>0</v>
      </c>
      <c r="M319">
        <v>3.34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2</v>
      </c>
      <c r="U319">
        <v>0</v>
      </c>
      <c r="V319">
        <v>7.05</v>
      </c>
      <c r="W319">
        <v>0</v>
      </c>
      <c r="Y319">
        <v>0</v>
      </c>
    </row>
    <row r="320" spans="1:25" x14ac:dyDescent="0.3">
      <c r="A320" s="30"/>
      <c r="B320" s="30"/>
      <c r="C320" s="1" t="s">
        <v>45</v>
      </c>
      <c r="D320" s="1" t="s">
        <v>34</v>
      </c>
      <c r="E320">
        <v>4.8499999999999996</v>
      </c>
      <c r="F320">
        <v>19000</v>
      </c>
      <c r="G320">
        <v>70</v>
      </c>
      <c r="H320">
        <v>4.55</v>
      </c>
      <c r="I320">
        <v>0.3</v>
      </c>
      <c r="J320">
        <v>0</v>
      </c>
      <c r="K320">
        <v>0</v>
      </c>
      <c r="L320">
        <v>0</v>
      </c>
      <c r="M320">
        <v>4.87</v>
      </c>
      <c r="N320">
        <v>4.55</v>
      </c>
      <c r="O320">
        <v>0</v>
      </c>
      <c r="P320">
        <v>0</v>
      </c>
      <c r="Q320">
        <v>0</v>
      </c>
      <c r="R320">
        <v>0</v>
      </c>
      <c r="S320">
        <v>5.2</v>
      </c>
      <c r="T320">
        <v>3</v>
      </c>
      <c r="U320">
        <v>5267.95</v>
      </c>
      <c r="V320">
        <v>7.05</v>
      </c>
      <c r="W320">
        <v>13.46</v>
      </c>
      <c r="X320">
        <v>13.46</v>
      </c>
      <c r="Y320">
        <v>97.63</v>
      </c>
    </row>
    <row r="321" spans="1:25" x14ac:dyDescent="0.3">
      <c r="A321" s="30"/>
      <c r="B321" s="30"/>
      <c r="C321" s="1" t="s">
        <v>42</v>
      </c>
      <c r="D321" s="1" t="s">
        <v>34</v>
      </c>
      <c r="E321">
        <v>0.55000000000000004</v>
      </c>
      <c r="F321">
        <v>19000</v>
      </c>
      <c r="G321">
        <v>0</v>
      </c>
      <c r="H321">
        <v>0.45</v>
      </c>
      <c r="I321">
        <v>0.05</v>
      </c>
      <c r="J321">
        <v>0</v>
      </c>
      <c r="K321">
        <v>0</v>
      </c>
      <c r="L321">
        <v>0</v>
      </c>
      <c r="M321">
        <v>0.54</v>
      </c>
      <c r="N321">
        <v>0.46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3</v>
      </c>
      <c r="U321">
        <v>2004.37</v>
      </c>
      <c r="V321">
        <v>7.05</v>
      </c>
      <c r="W321">
        <v>12</v>
      </c>
      <c r="X321">
        <v>0</v>
      </c>
      <c r="Y321">
        <v>0</v>
      </c>
    </row>
    <row r="322" spans="1:25" x14ac:dyDescent="0.3">
      <c r="A322" s="30"/>
      <c r="B322" s="2">
        <v>45183</v>
      </c>
      <c r="C322" s="1" t="s">
        <v>37</v>
      </c>
      <c r="D322" s="1" t="s">
        <v>34</v>
      </c>
      <c r="E322">
        <v>20.05</v>
      </c>
      <c r="F322">
        <v>19000</v>
      </c>
      <c r="G322">
        <v>289</v>
      </c>
      <c r="H322">
        <v>18.399999999999999</v>
      </c>
      <c r="I322">
        <v>1.6</v>
      </c>
      <c r="J322">
        <v>0</v>
      </c>
      <c r="K322">
        <v>0</v>
      </c>
      <c r="L322">
        <v>0</v>
      </c>
      <c r="M322">
        <v>20.04</v>
      </c>
      <c r="N322">
        <v>18.420000000000002</v>
      </c>
      <c r="O322">
        <v>0</v>
      </c>
      <c r="P322">
        <v>0</v>
      </c>
      <c r="Q322">
        <v>0</v>
      </c>
      <c r="R322">
        <v>0</v>
      </c>
      <c r="S322">
        <v>24</v>
      </c>
      <c r="T322">
        <v>4</v>
      </c>
      <c r="U322">
        <v>4616.9799999999996</v>
      </c>
      <c r="V322">
        <v>7.05</v>
      </c>
      <c r="W322">
        <v>12.5</v>
      </c>
      <c r="X322">
        <v>12.04</v>
      </c>
      <c r="Y322">
        <v>94.71</v>
      </c>
    </row>
  </sheetData>
  <autoFilter ref="A1:Y322" xr:uid="{00000000-0001-0000-0000-000000000000}"/>
  <mergeCells count="49">
    <mergeCell ref="A2:A86"/>
    <mergeCell ref="A87:A187"/>
    <mergeCell ref="A188:A254"/>
    <mergeCell ref="A255:A301"/>
    <mergeCell ref="A302:A322"/>
    <mergeCell ref="B23:B24"/>
    <mergeCell ref="B32:B34"/>
    <mergeCell ref="B38:B39"/>
    <mergeCell ref="B40:B43"/>
    <mergeCell ref="B62:B64"/>
    <mergeCell ref="B65:B67"/>
    <mergeCell ref="B73:B75"/>
    <mergeCell ref="B77:B79"/>
    <mergeCell ref="B81:B82"/>
    <mergeCell ref="B83:B84"/>
    <mergeCell ref="B89:B90"/>
    <mergeCell ref="B92:B93"/>
    <mergeCell ref="B95:B96"/>
    <mergeCell ref="B102:B104"/>
    <mergeCell ref="B105:B106"/>
    <mergeCell ref="B107:B108"/>
    <mergeCell ref="B114:B116"/>
    <mergeCell ref="B121:B122"/>
    <mergeCell ref="B124:B128"/>
    <mergeCell ref="B144:B145"/>
    <mergeCell ref="B157:B158"/>
    <mergeCell ref="B175:B177"/>
    <mergeCell ref="B178:B179"/>
    <mergeCell ref="B180:B181"/>
    <mergeCell ref="B188:B189"/>
    <mergeCell ref="B190:B191"/>
    <mergeCell ref="B199:B200"/>
    <mergeCell ref="B201:B202"/>
    <mergeCell ref="B203:B204"/>
    <mergeCell ref="B219:B220"/>
    <mergeCell ref="B221:B223"/>
    <mergeCell ref="B235:B236"/>
    <mergeCell ref="B255:B257"/>
    <mergeCell ref="B258:B259"/>
    <mergeCell ref="B262:B264"/>
    <mergeCell ref="B304:B305"/>
    <mergeCell ref="B306:B307"/>
    <mergeCell ref="B315:B316"/>
    <mergeCell ref="B319:B321"/>
    <mergeCell ref="B271:B272"/>
    <mergeCell ref="B273:B274"/>
    <mergeCell ref="B292:B293"/>
    <mergeCell ref="B294:B295"/>
    <mergeCell ref="B302:B3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6B053-6DB2-4496-A3E7-AAC1FD7C62CE}">
  <dimension ref="A1:AL36"/>
  <sheetViews>
    <sheetView tabSelected="1" topLeftCell="V1" workbookViewId="0">
      <selection activeCell="AF10" sqref="AF10"/>
    </sheetView>
  </sheetViews>
  <sheetFormatPr defaultRowHeight="14" x14ac:dyDescent="0.3"/>
  <cols>
    <col min="1" max="1" width="9.3984375" bestFit="1" customWidth="1"/>
    <col min="2" max="2" width="18" bestFit="1" customWidth="1"/>
    <col min="3" max="3" width="25.59765625" bestFit="1" customWidth="1"/>
    <col min="4" max="4" width="12.3984375" bestFit="1" customWidth="1"/>
    <col min="5" max="5" width="10.296875" bestFit="1" customWidth="1"/>
    <col min="6" max="6" width="13.5" bestFit="1" customWidth="1"/>
    <col min="7" max="7" width="13.296875" bestFit="1" customWidth="1"/>
    <col min="8" max="8" width="8.09765625" bestFit="1" customWidth="1"/>
    <col min="9" max="9" width="8.59765625" bestFit="1" customWidth="1"/>
    <col min="10" max="10" width="10.296875" bestFit="1" customWidth="1"/>
    <col min="11" max="11" width="18.3984375" bestFit="1" customWidth="1"/>
    <col min="12" max="12" width="17.8984375" bestFit="1" customWidth="1"/>
    <col min="13" max="13" width="22.5" bestFit="1" customWidth="1"/>
    <col min="14" max="14" width="26.296875" bestFit="1" customWidth="1"/>
    <col min="15" max="15" width="22" bestFit="1" customWidth="1"/>
    <col min="16" max="16" width="20.59765625" bestFit="1" customWidth="1"/>
    <col min="17" max="17" width="23.8984375" bestFit="1" customWidth="1"/>
    <col min="18" max="18" width="23.3984375" bestFit="1" customWidth="1"/>
    <col min="19" max="19" width="21.69921875" bestFit="1" customWidth="1"/>
    <col min="20" max="20" width="10.09765625" bestFit="1" customWidth="1"/>
    <col min="21" max="21" width="11.09765625" bestFit="1" customWidth="1"/>
    <col min="22" max="22" width="6.3984375" bestFit="1" customWidth="1"/>
    <col min="23" max="23" width="8" bestFit="1" customWidth="1"/>
    <col min="24" max="25" width="5.8984375" bestFit="1" customWidth="1"/>
    <col min="26" max="26" width="10.19921875" bestFit="1" customWidth="1"/>
    <col min="27" max="27" width="7.8984375" bestFit="1" customWidth="1"/>
    <col min="30" max="30" width="19.296875" bestFit="1" customWidth="1"/>
    <col min="31" max="31" width="7.8984375" bestFit="1" customWidth="1"/>
    <col min="32" max="32" width="8.8984375" bestFit="1" customWidth="1"/>
    <col min="33" max="33" width="14.796875" bestFit="1" customWidth="1"/>
    <col min="34" max="34" width="25.296875" bestFit="1" customWidth="1"/>
    <col min="35" max="35" width="14.19921875" bestFit="1" customWidth="1"/>
    <col min="36" max="36" width="8.8984375" bestFit="1" customWidth="1"/>
    <col min="37" max="37" width="14.796875" bestFit="1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9"/>
      <c r="AA1" s="19"/>
    </row>
    <row r="2" spans="1:38" x14ac:dyDescent="0.3">
      <c r="B2" s="2">
        <v>45022</v>
      </c>
      <c r="C2" s="1" t="s">
        <v>38</v>
      </c>
      <c r="D2" s="1" t="s">
        <v>34</v>
      </c>
      <c r="E2">
        <v>16.05</v>
      </c>
      <c r="F2">
        <v>28111.9</v>
      </c>
      <c r="G2">
        <v>277</v>
      </c>
      <c r="H2">
        <v>14.7</v>
      </c>
      <c r="I2">
        <v>1.35</v>
      </c>
      <c r="J2">
        <v>0</v>
      </c>
      <c r="K2">
        <v>0</v>
      </c>
      <c r="L2">
        <v>0</v>
      </c>
      <c r="M2">
        <v>16.059999999999999</v>
      </c>
      <c r="N2">
        <v>14.71</v>
      </c>
      <c r="O2">
        <v>0</v>
      </c>
      <c r="P2">
        <v>0</v>
      </c>
      <c r="Q2">
        <v>0</v>
      </c>
      <c r="R2">
        <v>0</v>
      </c>
      <c r="S2">
        <v>23.3</v>
      </c>
      <c r="T2">
        <v>5</v>
      </c>
      <c r="U2">
        <v>3727.29</v>
      </c>
      <c r="V2">
        <v>8.83</v>
      </c>
      <c r="W2">
        <v>11.76</v>
      </c>
      <c r="X2">
        <v>11.89</v>
      </c>
      <c r="Y2">
        <v>90.06</v>
      </c>
    </row>
    <row r="3" spans="1:38" x14ac:dyDescent="0.3">
      <c r="B3" s="2">
        <v>45023</v>
      </c>
      <c r="C3" s="1" t="s">
        <v>38</v>
      </c>
      <c r="D3" s="1" t="s">
        <v>34</v>
      </c>
      <c r="E3">
        <v>15.95</v>
      </c>
      <c r="F3">
        <v>28111.9</v>
      </c>
      <c r="G3">
        <v>289</v>
      </c>
      <c r="H3">
        <v>14.5</v>
      </c>
      <c r="I3">
        <v>1.45</v>
      </c>
      <c r="J3">
        <v>0</v>
      </c>
      <c r="K3">
        <v>0</v>
      </c>
      <c r="L3">
        <v>0</v>
      </c>
      <c r="M3">
        <v>15.97</v>
      </c>
      <c r="N3">
        <v>14.5</v>
      </c>
      <c r="O3">
        <v>0</v>
      </c>
      <c r="P3">
        <v>0</v>
      </c>
      <c r="Q3">
        <v>0</v>
      </c>
      <c r="R3">
        <v>0</v>
      </c>
      <c r="S3">
        <v>24</v>
      </c>
      <c r="T3">
        <v>4</v>
      </c>
      <c r="U3">
        <v>3549.81</v>
      </c>
      <c r="V3">
        <v>8.83</v>
      </c>
      <c r="W3">
        <v>11.96</v>
      </c>
      <c r="X3">
        <v>12.04</v>
      </c>
      <c r="Y3">
        <v>92.97</v>
      </c>
    </row>
    <row r="4" spans="1:38" x14ac:dyDescent="0.3">
      <c r="B4" s="2">
        <v>45024</v>
      </c>
      <c r="C4" s="1" t="s">
        <v>38</v>
      </c>
      <c r="D4" s="1" t="s">
        <v>34</v>
      </c>
      <c r="E4">
        <v>16.600000000000001</v>
      </c>
      <c r="F4">
        <v>28111.9</v>
      </c>
      <c r="G4">
        <v>300</v>
      </c>
      <c r="H4">
        <v>15.05</v>
      </c>
      <c r="I4">
        <v>1.55</v>
      </c>
      <c r="J4">
        <v>0</v>
      </c>
      <c r="K4">
        <v>0</v>
      </c>
      <c r="L4">
        <v>0</v>
      </c>
      <c r="M4">
        <v>16.600000000000001</v>
      </c>
      <c r="N4">
        <v>15.04</v>
      </c>
      <c r="O4">
        <v>0</v>
      </c>
      <c r="P4">
        <v>0</v>
      </c>
      <c r="Q4">
        <v>0</v>
      </c>
      <c r="R4">
        <v>0</v>
      </c>
      <c r="S4">
        <v>25</v>
      </c>
      <c r="T4">
        <v>5</v>
      </c>
      <c r="U4">
        <v>3533.04</v>
      </c>
      <c r="V4">
        <v>8.83</v>
      </c>
      <c r="W4">
        <v>11.88</v>
      </c>
      <c r="X4">
        <v>12</v>
      </c>
      <c r="Y4">
        <v>91.19</v>
      </c>
      <c r="AD4" s="10" t="s">
        <v>90</v>
      </c>
      <c r="AE4" s="10"/>
    </row>
    <row r="5" spans="1:38" x14ac:dyDescent="0.3">
      <c r="B5" s="2">
        <v>45025</v>
      </c>
      <c r="C5" s="1" t="s">
        <v>38</v>
      </c>
      <c r="D5" s="1" t="s">
        <v>34</v>
      </c>
      <c r="E5">
        <v>16</v>
      </c>
      <c r="F5">
        <v>28111.9</v>
      </c>
      <c r="G5">
        <v>290</v>
      </c>
      <c r="H5">
        <v>14.5</v>
      </c>
      <c r="I5">
        <v>1.5</v>
      </c>
      <c r="J5">
        <v>0</v>
      </c>
      <c r="K5">
        <v>0</v>
      </c>
      <c r="L5">
        <v>0</v>
      </c>
      <c r="M5">
        <v>15.98</v>
      </c>
      <c r="N5">
        <v>14.5</v>
      </c>
      <c r="O5">
        <v>0</v>
      </c>
      <c r="P5">
        <v>0</v>
      </c>
      <c r="Q5">
        <v>0</v>
      </c>
      <c r="R5">
        <v>0</v>
      </c>
      <c r="S5">
        <v>24</v>
      </c>
      <c r="T5">
        <v>4</v>
      </c>
      <c r="U5">
        <v>3391.91</v>
      </c>
      <c r="V5">
        <v>8.83</v>
      </c>
      <c r="W5">
        <v>11.63</v>
      </c>
      <c r="X5">
        <v>12.08</v>
      </c>
      <c r="Y5">
        <v>89.72</v>
      </c>
      <c r="AD5" s="10" t="s">
        <v>88</v>
      </c>
      <c r="AE5" s="9">
        <v>12</v>
      </c>
    </row>
    <row r="6" spans="1:38" x14ac:dyDescent="0.3">
      <c r="B6" s="2">
        <v>45026</v>
      </c>
      <c r="C6" s="1" t="s">
        <v>38</v>
      </c>
      <c r="D6" s="1" t="s">
        <v>34</v>
      </c>
      <c r="E6">
        <v>16.600000000000001</v>
      </c>
      <c r="F6">
        <v>28111.9</v>
      </c>
      <c r="G6">
        <v>302</v>
      </c>
      <c r="H6">
        <v>15.1</v>
      </c>
      <c r="I6">
        <v>1.5</v>
      </c>
      <c r="J6">
        <v>0</v>
      </c>
      <c r="K6">
        <v>0</v>
      </c>
      <c r="L6">
        <v>0</v>
      </c>
      <c r="M6">
        <v>16.579999999999998</v>
      </c>
      <c r="N6">
        <v>15.08</v>
      </c>
      <c r="O6">
        <v>0</v>
      </c>
      <c r="P6">
        <v>0</v>
      </c>
      <c r="Q6">
        <v>0</v>
      </c>
      <c r="R6">
        <v>0</v>
      </c>
      <c r="S6">
        <v>25</v>
      </c>
      <c r="T6">
        <v>4</v>
      </c>
      <c r="U6">
        <v>3543.49</v>
      </c>
      <c r="V6">
        <v>8.83</v>
      </c>
      <c r="W6">
        <v>11.96</v>
      </c>
      <c r="X6">
        <v>12.08</v>
      </c>
      <c r="Y6">
        <v>88.76</v>
      </c>
      <c r="AD6" s="10" t="s">
        <v>89</v>
      </c>
      <c r="AE6" s="9">
        <f>COUNT(E2:E17)</f>
        <v>16</v>
      </c>
      <c r="AH6" s="32" t="s">
        <v>67</v>
      </c>
      <c r="AI6" s="32"/>
      <c r="AJ6" s="32"/>
      <c r="AK6" s="32"/>
      <c r="AL6" s="12"/>
    </row>
    <row r="7" spans="1:38" x14ac:dyDescent="0.3">
      <c r="B7" s="2">
        <v>45027</v>
      </c>
      <c r="C7" s="1" t="s">
        <v>38</v>
      </c>
      <c r="D7" s="1" t="s">
        <v>34</v>
      </c>
      <c r="E7">
        <v>15.95</v>
      </c>
      <c r="F7">
        <v>28111.9</v>
      </c>
      <c r="G7">
        <v>292</v>
      </c>
      <c r="H7">
        <v>14.5</v>
      </c>
      <c r="I7">
        <v>1.45</v>
      </c>
      <c r="J7">
        <v>0</v>
      </c>
      <c r="K7">
        <v>0</v>
      </c>
      <c r="L7">
        <v>0</v>
      </c>
      <c r="M7">
        <v>15.96</v>
      </c>
      <c r="N7">
        <v>14.49</v>
      </c>
      <c r="O7">
        <v>0</v>
      </c>
      <c r="P7">
        <v>0</v>
      </c>
      <c r="Q7">
        <v>0</v>
      </c>
      <c r="R7">
        <v>0</v>
      </c>
      <c r="S7">
        <v>24</v>
      </c>
      <c r="T7">
        <v>4</v>
      </c>
      <c r="U7">
        <v>3547.08</v>
      </c>
      <c r="V7">
        <v>8.83</v>
      </c>
      <c r="W7">
        <v>11.96</v>
      </c>
      <c r="X7">
        <v>12.17</v>
      </c>
      <c r="Y7">
        <v>90.33</v>
      </c>
      <c r="AD7" s="10" t="s">
        <v>62</v>
      </c>
      <c r="AE7" s="9">
        <v>4353</v>
      </c>
      <c r="AH7" s="13" t="s">
        <v>65</v>
      </c>
      <c r="AI7" s="13" t="s">
        <v>68</v>
      </c>
      <c r="AJ7" s="13" t="s">
        <v>67</v>
      </c>
      <c r="AK7" s="13" t="s">
        <v>69</v>
      </c>
      <c r="AL7" s="12"/>
    </row>
    <row r="8" spans="1:38" x14ac:dyDescent="0.3">
      <c r="B8" s="2">
        <v>45028</v>
      </c>
      <c r="C8" s="1" t="s">
        <v>38</v>
      </c>
      <c r="D8" s="1" t="s">
        <v>34</v>
      </c>
      <c r="E8">
        <v>16.649999999999999</v>
      </c>
      <c r="F8">
        <v>28111.9</v>
      </c>
      <c r="G8">
        <v>308</v>
      </c>
      <c r="H8">
        <v>15.1</v>
      </c>
      <c r="I8">
        <v>1.5</v>
      </c>
      <c r="J8">
        <v>0</v>
      </c>
      <c r="K8">
        <v>0</v>
      </c>
      <c r="L8">
        <v>0</v>
      </c>
      <c r="M8">
        <v>16.64</v>
      </c>
      <c r="N8">
        <v>15.12</v>
      </c>
      <c r="O8">
        <v>0</v>
      </c>
      <c r="P8">
        <v>0</v>
      </c>
      <c r="Q8">
        <v>0</v>
      </c>
      <c r="R8">
        <v>0</v>
      </c>
      <c r="S8">
        <v>25</v>
      </c>
      <c r="T8">
        <v>4</v>
      </c>
      <c r="U8">
        <v>3553.94</v>
      </c>
      <c r="V8">
        <v>8.83</v>
      </c>
      <c r="W8">
        <v>12.12</v>
      </c>
      <c r="X8">
        <v>12.32</v>
      </c>
      <c r="Y8">
        <v>90.71</v>
      </c>
      <c r="AD8" s="10" t="s">
        <v>63</v>
      </c>
      <c r="AE8" s="9">
        <v>222.95</v>
      </c>
      <c r="AH8" s="12">
        <v>11.46</v>
      </c>
      <c r="AI8" s="12" t="s">
        <v>70</v>
      </c>
      <c r="AJ8" s="14">
        <f>G18/AH8</f>
        <v>379.84293193717275</v>
      </c>
      <c r="AK8" s="15">
        <f>AJ8/24</f>
        <v>15.826788830715531</v>
      </c>
      <c r="AL8" s="12"/>
    </row>
    <row r="9" spans="1:38" x14ac:dyDescent="0.3">
      <c r="B9" s="2">
        <v>45029</v>
      </c>
      <c r="C9" s="1" t="s">
        <v>38</v>
      </c>
      <c r="D9" s="1" t="s">
        <v>34</v>
      </c>
      <c r="E9">
        <v>16</v>
      </c>
      <c r="F9">
        <v>28111.9</v>
      </c>
      <c r="G9">
        <v>272</v>
      </c>
      <c r="H9">
        <v>14.55</v>
      </c>
      <c r="I9">
        <v>1.45</v>
      </c>
      <c r="J9">
        <v>0</v>
      </c>
      <c r="K9">
        <v>0</v>
      </c>
      <c r="L9">
        <v>0</v>
      </c>
      <c r="M9">
        <v>15.98</v>
      </c>
      <c r="N9">
        <v>14.53</v>
      </c>
      <c r="O9">
        <v>0</v>
      </c>
      <c r="P9">
        <v>0</v>
      </c>
      <c r="Q9">
        <v>0</v>
      </c>
      <c r="R9">
        <v>0</v>
      </c>
      <c r="S9">
        <v>24</v>
      </c>
      <c r="T9">
        <v>4</v>
      </c>
      <c r="U9">
        <v>3557.97</v>
      </c>
      <c r="V9">
        <v>8.83</v>
      </c>
      <c r="W9">
        <v>11.5</v>
      </c>
      <c r="X9">
        <v>11.33</v>
      </c>
      <c r="Y9">
        <v>89.12</v>
      </c>
      <c r="AD9" s="10" t="s">
        <v>64</v>
      </c>
      <c r="AE9" s="9">
        <v>3341.85</v>
      </c>
    </row>
    <row r="10" spans="1:38" x14ac:dyDescent="0.3">
      <c r="B10" s="2">
        <v>45030</v>
      </c>
      <c r="C10" s="1" t="s">
        <v>45</v>
      </c>
      <c r="D10" s="1" t="s">
        <v>34</v>
      </c>
      <c r="E10">
        <v>17.100000000000001</v>
      </c>
      <c r="F10">
        <v>28111.9</v>
      </c>
      <c r="G10">
        <v>291</v>
      </c>
      <c r="H10">
        <v>15.6</v>
      </c>
      <c r="I10">
        <v>1.55</v>
      </c>
      <c r="J10">
        <v>0</v>
      </c>
      <c r="K10">
        <v>0</v>
      </c>
      <c r="L10">
        <v>0</v>
      </c>
      <c r="M10">
        <v>17.12</v>
      </c>
      <c r="N10">
        <v>15.58</v>
      </c>
      <c r="O10">
        <v>0</v>
      </c>
      <c r="P10">
        <v>0</v>
      </c>
      <c r="Q10">
        <v>0</v>
      </c>
      <c r="R10">
        <v>0</v>
      </c>
      <c r="S10">
        <v>25</v>
      </c>
      <c r="T10">
        <v>4</v>
      </c>
      <c r="U10">
        <v>3674.16</v>
      </c>
      <c r="V10">
        <v>8.83</v>
      </c>
      <c r="W10">
        <v>11.56</v>
      </c>
      <c r="X10">
        <v>11.64</v>
      </c>
      <c r="Y10">
        <v>88.73</v>
      </c>
      <c r="AD10" s="10" t="s">
        <v>65</v>
      </c>
      <c r="AE10" s="9">
        <v>11.46</v>
      </c>
      <c r="AH10" s="32" t="s">
        <v>62</v>
      </c>
      <c r="AI10" s="32"/>
      <c r="AJ10" s="32"/>
      <c r="AK10" s="32"/>
      <c r="AL10" s="12"/>
    </row>
    <row r="11" spans="1:38" x14ac:dyDescent="0.3">
      <c r="B11" s="2">
        <v>45031</v>
      </c>
      <c r="C11" s="1" t="s">
        <v>38</v>
      </c>
      <c r="D11" s="1" t="s">
        <v>34</v>
      </c>
      <c r="E11">
        <v>16</v>
      </c>
      <c r="F11">
        <v>28111.9</v>
      </c>
      <c r="G11">
        <v>289</v>
      </c>
      <c r="H11">
        <v>14.5</v>
      </c>
      <c r="I11">
        <v>1.5</v>
      </c>
      <c r="J11">
        <v>0</v>
      </c>
      <c r="K11">
        <v>0</v>
      </c>
      <c r="L11">
        <v>0</v>
      </c>
      <c r="M11">
        <v>15.99</v>
      </c>
      <c r="N11">
        <v>14.5</v>
      </c>
      <c r="O11">
        <v>0</v>
      </c>
      <c r="P11">
        <v>0</v>
      </c>
      <c r="Q11">
        <v>0</v>
      </c>
      <c r="R11">
        <v>0</v>
      </c>
      <c r="S11">
        <v>24</v>
      </c>
      <c r="T11">
        <v>3</v>
      </c>
      <c r="U11">
        <v>3549.81</v>
      </c>
      <c r="V11">
        <v>8.83</v>
      </c>
      <c r="W11">
        <v>11.92</v>
      </c>
      <c r="X11">
        <v>12.04</v>
      </c>
      <c r="Y11">
        <v>90.26</v>
      </c>
      <c r="AD11" s="10"/>
      <c r="AE11" s="9"/>
      <c r="AH11" s="13" t="s">
        <v>71</v>
      </c>
      <c r="AI11" s="16"/>
      <c r="AJ11" s="12" t="s">
        <v>76</v>
      </c>
      <c r="AK11" s="17">
        <f>AE14*15.8</f>
        <v>4250.2</v>
      </c>
      <c r="AL11" s="12"/>
    </row>
    <row r="12" spans="1:38" x14ac:dyDescent="0.3">
      <c r="B12" s="2">
        <v>45032</v>
      </c>
      <c r="C12" s="1" t="s">
        <v>38</v>
      </c>
      <c r="D12" s="1" t="s">
        <v>34</v>
      </c>
      <c r="E12">
        <v>16.649999999999999</v>
      </c>
      <c r="F12">
        <v>28111.9</v>
      </c>
      <c r="G12">
        <v>310</v>
      </c>
      <c r="H12">
        <v>15.1</v>
      </c>
      <c r="I12">
        <v>1.55</v>
      </c>
      <c r="J12">
        <v>0</v>
      </c>
      <c r="K12">
        <v>0</v>
      </c>
      <c r="L12">
        <v>0</v>
      </c>
      <c r="M12">
        <v>16.649999999999999</v>
      </c>
      <c r="N12">
        <v>15.1</v>
      </c>
      <c r="O12">
        <v>0</v>
      </c>
      <c r="P12">
        <v>0</v>
      </c>
      <c r="Q12">
        <v>0</v>
      </c>
      <c r="R12">
        <v>0</v>
      </c>
      <c r="S12">
        <v>25</v>
      </c>
      <c r="T12">
        <v>3</v>
      </c>
      <c r="U12">
        <v>3548.72</v>
      </c>
      <c r="V12">
        <v>8.83</v>
      </c>
      <c r="W12">
        <v>12.16</v>
      </c>
      <c r="X12">
        <v>12.4</v>
      </c>
      <c r="Y12">
        <v>89.28</v>
      </c>
      <c r="AD12" s="8" t="s">
        <v>66</v>
      </c>
      <c r="AE12" s="9"/>
      <c r="AH12" s="12" t="s">
        <v>72</v>
      </c>
      <c r="AI12" s="12"/>
      <c r="AJ12" s="12"/>
      <c r="AK12" s="16">
        <v>4353</v>
      </c>
      <c r="AL12" s="12"/>
    </row>
    <row r="13" spans="1:38" x14ac:dyDescent="0.3">
      <c r="B13" s="2">
        <v>45033</v>
      </c>
      <c r="C13" s="1" t="s">
        <v>38</v>
      </c>
      <c r="D13" s="1" t="s">
        <v>34</v>
      </c>
      <c r="E13">
        <v>16.100000000000001</v>
      </c>
      <c r="F13">
        <v>28111.9</v>
      </c>
      <c r="G13">
        <v>288</v>
      </c>
      <c r="H13">
        <v>14.6</v>
      </c>
      <c r="I13">
        <v>1.5</v>
      </c>
      <c r="J13">
        <v>0</v>
      </c>
      <c r="K13">
        <v>0</v>
      </c>
      <c r="L13">
        <v>0</v>
      </c>
      <c r="M13">
        <v>16.11</v>
      </c>
      <c r="N13">
        <v>14.62</v>
      </c>
      <c r="O13">
        <v>0</v>
      </c>
      <c r="P13">
        <v>0</v>
      </c>
      <c r="Q13">
        <v>0</v>
      </c>
      <c r="R13">
        <v>0</v>
      </c>
      <c r="S13">
        <v>24</v>
      </c>
      <c r="T13">
        <v>4</v>
      </c>
      <c r="U13">
        <v>3582.47</v>
      </c>
      <c r="V13">
        <v>8.83</v>
      </c>
      <c r="W13">
        <v>12</v>
      </c>
      <c r="X13">
        <v>12</v>
      </c>
      <c r="Y13">
        <v>88.83</v>
      </c>
      <c r="AD13" s="10"/>
      <c r="AE13" s="9"/>
    </row>
    <row r="14" spans="1:38" x14ac:dyDescent="0.3">
      <c r="B14" s="2">
        <v>45034</v>
      </c>
      <c r="C14" s="1" t="s">
        <v>38</v>
      </c>
      <c r="D14" s="1" t="s">
        <v>34</v>
      </c>
      <c r="E14">
        <v>16.95</v>
      </c>
      <c r="F14">
        <v>28111.9</v>
      </c>
      <c r="G14">
        <v>299</v>
      </c>
      <c r="H14">
        <v>15.4</v>
      </c>
      <c r="I14">
        <v>1.6</v>
      </c>
      <c r="J14">
        <v>0</v>
      </c>
      <c r="K14">
        <v>0</v>
      </c>
      <c r="L14">
        <v>0</v>
      </c>
      <c r="M14">
        <v>16.97</v>
      </c>
      <c r="N14">
        <v>15.39</v>
      </c>
      <c r="O14">
        <v>0</v>
      </c>
      <c r="P14">
        <v>0</v>
      </c>
      <c r="Q14">
        <v>0</v>
      </c>
      <c r="R14">
        <v>0</v>
      </c>
      <c r="S14">
        <v>25</v>
      </c>
      <c r="T14">
        <v>4</v>
      </c>
      <c r="U14">
        <v>3624.51</v>
      </c>
      <c r="V14">
        <v>8.83</v>
      </c>
      <c r="W14">
        <v>11.8</v>
      </c>
      <c r="X14">
        <v>11.96</v>
      </c>
      <c r="Y14">
        <v>89.07</v>
      </c>
      <c r="AD14" s="10" t="s">
        <v>62</v>
      </c>
      <c r="AE14" s="9">
        <v>269</v>
      </c>
      <c r="AH14" s="32" t="s">
        <v>63</v>
      </c>
      <c r="AI14" s="32"/>
      <c r="AJ14" s="32"/>
      <c r="AK14" s="32"/>
      <c r="AL14" s="12"/>
    </row>
    <row r="15" spans="1:38" x14ac:dyDescent="0.3">
      <c r="B15" s="2">
        <v>45035</v>
      </c>
      <c r="C15" s="1" t="s">
        <v>38</v>
      </c>
      <c r="D15" s="1" t="s">
        <v>34</v>
      </c>
      <c r="E15">
        <v>16.25</v>
      </c>
      <c r="F15">
        <v>28111.9</v>
      </c>
      <c r="G15">
        <v>265</v>
      </c>
      <c r="H15">
        <v>14.75</v>
      </c>
      <c r="I15">
        <v>1.5</v>
      </c>
      <c r="J15">
        <v>0</v>
      </c>
      <c r="K15">
        <v>0</v>
      </c>
      <c r="L15">
        <v>0</v>
      </c>
      <c r="M15">
        <v>16.260000000000002</v>
      </c>
      <c r="N15">
        <v>14.74</v>
      </c>
      <c r="O15">
        <v>0</v>
      </c>
      <c r="P15">
        <v>0</v>
      </c>
      <c r="Q15">
        <v>0</v>
      </c>
      <c r="R15">
        <v>0</v>
      </c>
      <c r="S15">
        <v>24</v>
      </c>
      <c r="T15">
        <v>4</v>
      </c>
      <c r="U15">
        <v>3615.14</v>
      </c>
      <c r="V15">
        <v>8.8000000000000007</v>
      </c>
      <c r="W15">
        <v>12.08</v>
      </c>
      <c r="X15">
        <v>11.04</v>
      </c>
      <c r="Y15">
        <v>89.6</v>
      </c>
      <c r="AD15" s="10" t="s">
        <v>63</v>
      </c>
      <c r="AE15" s="9">
        <v>13.38</v>
      </c>
      <c r="AH15" s="13" t="s">
        <v>73</v>
      </c>
      <c r="AI15" s="12"/>
      <c r="AJ15" s="12"/>
      <c r="AK15" s="12">
        <v>222.9</v>
      </c>
      <c r="AL15" s="12"/>
    </row>
    <row r="16" spans="1:38" x14ac:dyDescent="0.3">
      <c r="B16" s="2">
        <v>45036</v>
      </c>
      <c r="C16" s="1" t="s">
        <v>38</v>
      </c>
      <c r="D16" s="1" t="s">
        <v>34</v>
      </c>
      <c r="E16">
        <v>16.399999999999999</v>
      </c>
      <c r="F16">
        <v>28111.9</v>
      </c>
      <c r="G16">
        <v>274</v>
      </c>
      <c r="H16">
        <v>14.8</v>
      </c>
      <c r="I16">
        <v>1.6</v>
      </c>
      <c r="J16">
        <v>0</v>
      </c>
      <c r="K16">
        <v>0</v>
      </c>
      <c r="L16">
        <v>0</v>
      </c>
      <c r="M16">
        <v>16.41</v>
      </c>
      <c r="N16">
        <v>14.8</v>
      </c>
      <c r="O16">
        <v>0</v>
      </c>
      <c r="P16">
        <v>0</v>
      </c>
      <c r="Q16">
        <v>0</v>
      </c>
      <c r="R16">
        <v>0</v>
      </c>
      <c r="S16">
        <v>25</v>
      </c>
      <c r="T16">
        <v>4</v>
      </c>
      <c r="U16">
        <v>3470.31</v>
      </c>
      <c r="V16">
        <v>8.8000000000000007</v>
      </c>
      <c r="W16">
        <v>12.08</v>
      </c>
      <c r="X16">
        <v>10.96</v>
      </c>
      <c r="Y16">
        <v>88.15</v>
      </c>
      <c r="AD16" s="10" t="s">
        <v>64</v>
      </c>
      <c r="AE16" s="9">
        <v>3253.81</v>
      </c>
      <c r="AH16" s="13" t="s">
        <v>74</v>
      </c>
      <c r="AI16" s="12">
        <v>13.38</v>
      </c>
      <c r="AJ16" s="12" t="s">
        <v>77</v>
      </c>
      <c r="AK16" s="12">
        <f>AI16*15.8</f>
        <v>211.40400000000002</v>
      </c>
      <c r="AL16" s="12"/>
    </row>
    <row r="17" spans="1:38" x14ac:dyDescent="0.3">
      <c r="B17" s="2">
        <v>45037</v>
      </c>
      <c r="C17" s="1" t="s">
        <v>47</v>
      </c>
      <c r="D17" s="1" t="s">
        <v>34</v>
      </c>
      <c r="E17">
        <v>0.9</v>
      </c>
      <c r="F17">
        <v>28111.9</v>
      </c>
      <c r="G17">
        <v>7</v>
      </c>
      <c r="H17">
        <v>0.2</v>
      </c>
      <c r="I17">
        <v>0.4</v>
      </c>
      <c r="J17">
        <v>0.25</v>
      </c>
      <c r="K17">
        <v>0</v>
      </c>
      <c r="L17">
        <v>0</v>
      </c>
      <c r="M17">
        <v>0.88</v>
      </c>
      <c r="N17">
        <v>0.2</v>
      </c>
      <c r="O17">
        <v>0</v>
      </c>
      <c r="P17">
        <v>0</v>
      </c>
      <c r="Q17">
        <v>0</v>
      </c>
      <c r="R17">
        <v>0</v>
      </c>
      <c r="S17">
        <v>1.4</v>
      </c>
      <c r="T17">
        <v>3</v>
      </c>
      <c r="U17">
        <v>0</v>
      </c>
      <c r="V17">
        <v>8.8000000000000007</v>
      </c>
      <c r="W17">
        <v>5</v>
      </c>
      <c r="X17">
        <v>5</v>
      </c>
      <c r="Y17">
        <v>0</v>
      </c>
      <c r="AH17" s="11" t="s">
        <v>75</v>
      </c>
      <c r="AI17" s="18"/>
      <c r="AJ17" s="18"/>
      <c r="AK17" s="18">
        <f>AK15-AK16</f>
        <v>11.495999999999981</v>
      </c>
      <c r="AL17" s="12"/>
    </row>
    <row r="18" spans="1:38" x14ac:dyDescent="0.3">
      <c r="B18" s="6"/>
      <c r="C18" s="1"/>
      <c r="D18" s="1"/>
      <c r="G18" s="20">
        <f>SUM(G2:G17)</f>
        <v>4353</v>
      </c>
      <c r="H18" s="20">
        <f>SUM(H2:H17)</f>
        <v>222.95</v>
      </c>
      <c r="N18" s="20">
        <f>SUM(N2:N17)</f>
        <v>222.90000000000003</v>
      </c>
      <c r="U18" s="21">
        <f>AVERAGE(U2:U17)</f>
        <v>3341.8531250000001</v>
      </c>
      <c r="W18" s="21">
        <f>AVERAGE(W2:W17)</f>
        <v>11.460625000000004</v>
      </c>
      <c r="X18" s="20">
        <f>AVERAGE(X2:X17)</f>
        <v>11.434374999999999</v>
      </c>
    </row>
    <row r="19" spans="1:38" x14ac:dyDescent="0.3">
      <c r="B19" s="7"/>
      <c r="C19" s="1"/>
      <c r="D19" s="1"/>
    </row>
    <row r="21" spans="1:38" s="5" customFormat="1" x14ac:dyDescent="0.3">
      <c r="A21"/>
      <c r="B21" s="3">
        <v>45141</v>
      </c>
      <c r="C21" s="4" t="s">
        <v>38</v>
      </c>
      <c r="D21" s="4" t="s">
        <v>34</v>
      </c>
      <c r="E21" s="5">
        <v>14.95</v>
      </c>
      <c r="F21" s="5">
        <v>29000</v>
      </c>
      <c r="G21" s="5">
        <v>269</v>
      </c>
      <c r="H21" s="5">
        <v>13.4</v>
      </c>
      <c r="I21" s="5">
        <v>1.55</v>
      </c>
      <c r="J21" s="5">
        <v>0</v>
      </c>
      <c r="K21" s="5">
        <v>0</v>
      </c>
      <c r="L21" s="5">
        <v>0</v>
      </c>
      <c r="M21" s="5">
        <v>14.95</v>
      </c>
      <c r="N21" s="5">
        <v>13.38</v>
      </c>
      <c r="O21" s="5">
        <v>0</v>
      </c>
      <c r="P21" s="5">
        <v>0</v>
      </c>
      <c r="Q21" s="5">
        <v>0</v>
      </c>
      <c r="R21" s="5">
        <v>0</v>
      </c>
      <c r="S21" s="5">
        <v>24</v>
      </c>
      <c r="T21" s="5">
        <v>6</v>
      </c>
      <c r="U21" s="5">
        <v>3253.81</v>
      </c>
      <c r="V21" s="5">
        <v>9</v>
      </c>
      <c r="W21" s="5">
        <v>11.46</v>
      </c>
      <c r="X21" s="5">
        <v>11.21</v>
      </c>
      <c r="Y21" s="5">
        <v>86.94</v>
      </c>
    </row>
    <row r="25" spans="1:38" x14ac:dyDescent="0.3">
      <c r="E25" s="22" t="s">
        <v>78</v>
      </c>
      <c r="G25" s="23">
        <v>667.5</v>
      </c>
    </row>
    <row r="26" spans="1:38" x14ac:dyDescent="0.3">
      <c r="E26" s="24"/>
    </row>
    <row r="27" spans="1:38" x14ac:dyDescent="0.3">
      <c r="E27" s="25"/>
      <c r="F27" s="31" t="s">
        <v>79</v>
      </c>
      <c r="G27" s="31"/>
      <c r="H27" s="31"/>
      <c r="I27" s="25"/>
    </row>
    <row r="28" spans="1:38" x14ac:dyDescent="0.3">
      <c r="E28" s="25" t="s">
        <v>80</v>
      </c>
      <c r="F28" s="25" t="s">
        <v>81</v>
      </c>
      <c r="G28" s="26"/>
      <c r="H28" s="27" t="s">
        <v>82</v>
      </c>
      <c r="I28" s="25"/>
    </row>
    <row r="29" spans="1:38" x14ac:dyDescent="0.3">
      <c r="E29" s="25" t="s">
        <v>83</v>
      </c>
      <c r="F29" s="25">
        <v>222.9</v>
      </c>
      <c r="G29" s="25"/>
      <c r="H29" s="25">
        <f>F29*667.5</f>
        <v>148785.75</v>
      </c>
      <c r="I29" s="25"/>
    </row>
    <row r="30" spans="1:38" x14ac:dyDescent="0.3">
      <c r="E30" s="25"/>
      <c r="F30" s="25"/>
      <c r="G30" s="25"/>
      <c r="H30" s="25"/>
      <c r="I30" s="25"/>
    </row>
    <row r="31" spans="1:38" x14ac:dyDescent="0.3">
      <c r="E31" s="31" t="s">
        <v>84</v>
      </c>
      <c r="F31" s="31"/>
      <c r="G31" s="31"/>
      <c r="H31" s="31"/>
      <c r="I31" s="31"/>
    </row>
    <row r="32" spans="1:38" x14ac:dyDescent="0.3">
      <c r="E32" s="25" t="s">
        <v>80</v>
      </c>
      <c r="F32" s="25" t="s">
        <v>81</v>
      </c>
      <c r="G32" s="25"/>
      <c r="H32" s="27" t="s">
        <v>82</v>
      </c>
      <c r="I32" s="25"/>
    </row>
    <row r="33" spans="5:9" x14ac:dyDescent="0.3">
      <c r="E33" s="25" t="s">
        <v>85</v>
      </c>
      <c r="F33" s="25">
        <v>13.38</v>
      </c>
      <c r="G33" s="25"/>
      <c r="H33" s="25">
        <f>F33*G25</f>
        <v>8931.15</v>
      </c>
      <c r="I33" s="25"/>
    </row>
    <row r="34" spans="5:9" x14ac:dyDescent="0.3">
      <c r="E34" s="25"/>
      <c r="F34" s="25"/>
      <c r="G34" s="25"/>
      <c r="H34" s="25"/>
      <c r="I34" s="25"/>
    </row>
    <row r="35" spans="5:9" x14ac:dyDescent="0.3">
      <c r="E35" s="31" t="s">
        <v>86</v>
      </c>
      <c r="F35" s="31"/>
      <c r="G35" s="31"/>
      <c r="H35" s="31"/>
      <c r="I35" s="31"/>
    </row>
    <row r="36" spans="5:9" x14ac:dyDescent="0.3">
      <c r="E36" s="28" t="s">
        <v>87</v>
      </c>
      <c r="F36" s="28"/>
      <c r="G36" s="28"/>
      <c r="H36" s="28">
        <f>H29-H33</f>
        <v>139854.6</v>
      </c>
      <c r="I36" s="28"/>
    </row>
  </sheetData>
  <mergeCells count="6">
    <mergeCell ref="E35:I35"/>
    <mergeCell ref="AH6:AK6"/>
    <mergeCell ref="AH10:AK10"/>
    <mergeCell ref="AH14:AK14"/>
    <mergeCell ref="F27:H27"/>
    <mergeCell ref="E31:I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Akshaya M</cp:lastModifiedBy>
  <dcterms:created xsi:type="dcterms:W3CDTF">2023-10-04T05:48:45Z</dcterms:created>
  <dcterms:modified xsi:type="dcterms:W3CDTF">2023-10-04T11:49:40Z</dcterms:modified>
</cp:coreProperties>
</file>